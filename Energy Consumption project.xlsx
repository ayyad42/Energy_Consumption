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Jupyter\Desktop\New folder\"/>
    </mc:Choice>
  </mc:AlternateContent>
  <xr:revisionPtr revIDLastSave="0" documentId="13_ncr:1_{9677B9FE-908A-4D25-AE51-F8409BD33C14}" xr6:coauthVersionLast="47" xr6:coauthVersionMax="47" xr10:uidLastSave="{00000000-0000-0000-0000-000000000000}"/>
  <bookViews>
    <workbookView xWindow="-113" yWindow="-113" windowWidth="24267" windowHeight="13148" firstSheet="1" activeTab="1" xr2:uid="{75A6CA54-48C1-4C28-9931-BDC440606146}"/>
  </bookViews>
  <sheets>
    <sheet name="Pivots" sheetId="2" state="hidden" r:id="rId1"/>
    <sheet name="Cost" sheetId="3" r:id="rId2"/>
  </sheets>
  <definedNames>
    <definedName name="_xlchart.v6.0" hidden="1">Pivots!$D$1</definedName>
    <definedName name="_xlchart.v6.1" hidden="1">Pivots!$D$2:$D$6</definedName>
    <definedName name="_xlchart.v6.2" hidden="1">Pivots!$E$1</definedName>
    <definedName name="_xlchart.v6.3" hidden="1">Pivots!$E$2:$E$6</definedName>
    <definedName name="_xlchart.v6.4" hidden="1">Pivots!$D$1</definedName>
    <definedName name="_xlchart.v6.5" hidden="1">Pivots!$D$2:$D$6</definedName>
    <definedName name="_xlchart.v6.6" hidden="1">Pivots!$E$1</definedName>
    <definedName name="_xlchart.v6.7" hidden="1">Pivots!$E$2:$E$6</definedName>
    <definedName name="Slicer_Year">#N/A</definedName>
  </definedNames>
  <calcPr calcId="191029"/>
  <pivotCaches>
    <pivotCache cacheId="147" r:id="rId3"/>
    <pivotCache cacheId="150" r:id="rId4"/>
    <pivotCache cacheId="153" r:id="rId5"/>
    <pivotCache cacheId="156" r:id="rId6"/>
    <pivotCache cacheId="159" r:id="rId7"/>
    <pivotCache cacheId="162" r:id="rId8"/>
    <pivotCache cacheId="165" r:id="rId9"/>
    <pivotCache cacheId="168" r:id="rId10"/>
    <pivotCache cacheId="171"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9db55b36-366f-4330-9ef3-30faa14aa83a" name="Building Master" connection="Query - Building Master"/>
          <x15:modelTable id="Rates_03b378f6-2070-4b84-bc7d-e9f0aafa5f3f" name="Rates" connection="Query - Rates"/>
          <x15:modelTable id="Energy Consumptions_840b0a49-5f59-4e09-a426-cf4069674565" name="Energy Consumptions" connection="Query - Energy Consumptions"/>
        </x15:modelTables>
        <x15:modelRelationships>
          <x15:modelRelationship fromTable="Energy Consumptions" fromColumn="Building" toTable="Building Master" toColumn="Building"/>
          <x15:modelRelationship fromTable="Energy Consumptions" fromColumn="Key"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U5" i="2"/>
  <c r="E2" i="2"/>
  <c r="E6" i="2"/>
  <c r="AA5" i="2"/>
  <c r="Y5" i="2"/>
  <c r="W5" i="2"/>
  <c r="T5" i="2"/>
  <c r="V5" i="2"/>
  <c r="E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9899D-899C-4ACC-9A5D-573C851E2801}" name="Query - Building Master" description="Connection to the 'Building Master' query in the workbook." type="100" refreshedVersion="8" minRefreshableVersion="5">
    <extLst>
      <ext xmlns:x15="http://schemas.microsoft.com/office/spreadsheetml/2010/11/main" uri="{DE250136-89BD-433C-8126-D09CA5730AF9}">
        <x15:connection id="d4197975-764e-4f3b-9b6f-97c0589e134d">
          <x15:oledbPr connection="Provider=Microsoft.Mashup.OleDb.1;Data Source=$Workbook$;Location=&quot;Building Master&quot;;Extended Properties=&quot;&quot;">
            <x15:dbTables>
              <x15:dbTable name="Building Master"/>
            </x15:dbTables>
          </x15:oledbPr>
        </x15:connection>
      </ext>
    </extLst>
  </connection>
  <connection id="2" xr16:uid="{20581750-5DD0-43D9-9B54-B51229A490B4}" name="Query - Energy Consumptions" description="Connection to the 'Energy Consumptions' query in the workbook." type="100" refreshedVersion="8" minRefreshableVersion="5">
    <extLst>
      <ext xmlns:x15="http://schemas.microsoft.com/office/spreadsheetml/2010/11/main" uri="{DE250136-89BD-433C-8126-D09CA5730AF9}">
        <x15:connection id="b2f7d16e-f227-40f4-8bd1-ecf516ace37a"/>
      </ext>
    </extLst>
  </connection>
  <connection id="3" xr16:uid="{2A4935D7-B7E5-4277-A915-F0326A4DF3E3}" name="Query - Rates" description="Connection to the 'Rates' query in the workbook." type="100" refreshedVersion="8" minRefreshableVersion="5">
    <extLst>
      <ext xmlns:x15="http://schemas.microsoft.com/office/spreadsheetml/2010/11/main" uri="{DE250136-89BD-433C-8126-D09CA5730AF9}">
        <x15:connection id="15a2b898-a298-4362-9cc3-844211d62ac6">
          <x15:oledbPr connection="Provider=Microsoft.Mashup.OleDb.1;Data Source=$Workbook$;Location=Rates;Extended Properties=&quot;&quot;">
            <x15:dbTables>
              <x15:dbTable name="Rates"/>
            </x15:dbTables>
          </x15:oledbPr>
        </x15:connection>
      </ext>
    </extLst>
  </connection>
  <connection id="4" xr16:uid="{2CCC18A1-9DC4-412A-9854-954A63842C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4">
    <s v="ThisWorkbookDataModel"/>
    <s v="{[Rates].[Energy Type].&amp;[Electricity]}"/>
    <s v="{[Rates].[Energy Type].&amp;[Gas]}"/>
    <s v="{[Rates].[Energy Type].&amp;[Water]}"/>
  </metadataStrings>
  <mdxMetadata count="3">
    <mdx n="0" f="s">
      <ms ns="1" c="0"/>
    </mdx>
    <mdx n="0" f="s">
      <ms ns="2" c="0"/>
    </mdx>
    <mdx n="0" f="s">
      <ms ns="3" c="0"/>
    </mdx>
  </mdxMetadata>
  <futureMetadata name="XLRICHVALUE" count="5">
    <bk>
      <extLst>
        <ext uri="{3e2802c4-a4d2-4d8b-9148-e3be6c30e623}">
          <xlrd:rvb i="0"/>
        </ext>
      </extLst>
    </bk>
    <bk>
      <extLst>
        <ext uri="{3e2802c4-a4d2-4d8b-9148-e3be6c30e623}">
          <xlrd:rvb i="39"/>
        </ext>
      </extLst>
    </bk>
    <bk>
      <extLst>
        <ext uri="{3e2802c4-a4d2-4d8b-9148-e3be6c30e623}">
          <xlrd:rvb i="73"/>
        </ext>
      </extLst>
    </bk>
    <bk>
      <extLst>
        <ext uri="{3e2802c4-a4d2-4d8b-9148-e3be6c30e623}">
          <xlrd:rvb i="108"/>
        </ext>
      </extLst>
    </bk>
    <bk>
      <extLst>
        <ext uri="{3e2802c4-a4d2-4d8b-9148-e3be6c30e623}">
          <xlrd:rvb i="142"/>
        </ext>
      </extLst>
    </bk>
  </futureMetadata>
  <valueMetadata count="8">
    <bk>
      <rc t="2" v="0"/>
    </bk>
    <bk>
      <rc t="2" v="1"/>
    </bk>
    <bk>
      <rc t="2" v="2"/>
    </bk>
    <bk>
      <rc t="1" v="0"/>
    </bk>
    <bk>
      <rc t="1" v="1"/>
    </bk>
    <bk>
      <rc t="1" v="2"/>
    </bk>
    <bk>
      <rc t="1" v="3"/>
    </bk>
    <bk>
      <rc t="1" v="4"/>
    </bk>
  </valueMetadata>
</metadata>
</file>

<file path=xl/sharedStrings.xml><?xml version="1.0" encoding="utf-8"?>
<sst xmlns="http://schemas.openxmlformats.org/spreadsheetml/2006/main" count="76" uniqueCount="38">
  <si>
    <t>Total Cost</t>
  </si>
  <si>
    <t>Row Labels</t>
  </si>
  <si>
    <t>B1006</t>
  </si>
  <si>
    <t>Grand Total</t>
  </si>
  <si>
    <t>Chicago</t>
  </si>
  <si>
    <t>Houston</t>
  </si>
  <si>
    <t>Los Angeles</t>
  </si>
  <si>
    <t>New York</t>
  </si>
  <si>
    <t>Phoenix</t>
  </si>
  <si>
    <t>Cost</t>
  </si>
  <si>
    <t>State</t>
  </si>
  <si>
    <t>2016</t>
  </si>
  <si>
    <t>Qtr1</t>
  </si>
  <si>
    <t>Jan</t>
  </si>
  <si>
    <t>Feb</t>
  </si>
  <si>
    <t>Mar</t>
  </si>
  <si>
    <t>Qtr2</t>
  </si>
  <si>
    <t>Apr</t>
  </si>
  <si>
    <t>May</t>
  </si>
  <si>
    <t>Jun</t>
  </si>
  <si>
    <t>Qtr3</t>
  </si>
  <si>
    <t>Jul</t>
  </si>
  <si>
    <t>Aug</t>
  </si>
  <si>
    <t>Sep</t>
  </si>
  <si>
    <t>Qtr4</t>
  </si>
  <si>
    <t>Oct</t>
  </si>
  <si>
    <t>Nov</t>
  </si>
  <si>
    <t>Dec</t>
  </si>
  <si>
    <t>Median Cost</t>
  </si>
  <si>
    <t>Electricity</t>
  </si>
  <si>
    <t>Gas</t>
  </si>
  <si>
    <t>Water</t>
  </si>
  <si>
    <t>Energy Type</t>
  </si>
  <si>
    <t>Number of Buildings</t>
  </si>
  <si>
    <t>B1010</t>
  </si>
  <si>
    <t>B1005</t>
  </si>
  <si>
    <t>B1004</t>
  </si>
  <si>
    <t>B1007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</si>
</sst>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0\);\$#,##0.0"/>
    <numFmt numFmtId="165" formatCode="\$#,##0;\(\$#,##0\);\$#,##0"/>
    <numFmt numFmtId="166"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0" fillId="0" borderId="0" xfId="0" applyNumberFormat="1"/>
  </cellXfs>
  <cellStyles count="2">
    <cellStyle name="Currency" xfId="1" builtinId="4"/>
    <cellStyle name="Normal" xfId="0" builtinId="0"/>
  </cellStyles>
  <dxfs count="1">
    <dxf>
      <fill>
        <patternFill patternType="solid">
          <bgColor theme="0"/>
        </patternFill>
      </fill>
    </dxf>
  </dxfs>
  <tableStyles count="1" defaultTableStyle="TableStyleMedium2" defaultPivotStyle="PivotStyleLight16">
    <tableStyle name="Slicer Style 1" pivot="0" table="0" count="2" xr9:uid="{62CFA670-86EA-4A3F-8DA8-786E18AE710B}">
      <tableStyleElement type="wholeTable" dxfId="0"/>
    </tableStyle>
  </tableStyles>
  <colors>
    <mruColors>
      <color rgb="FFF8F8F8"/>
    </mruColors>
  </colors>
  <extLst>
    <ext xmlns:x14="http://schemas.microsoft.com/office/spreadsheetml/2009/9/main" uri="{46F421CA-312F-682f-3DD2-61675219B42D}">
      <x14:dxfs count="1">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microsoft.com/office/2017/06/relationships/rdRichValueStructure" Target="richData/rdrichvaluestructure.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xml"/><Relationship Id="rId11" Type="http://schemas.openxmlformats.org/officeDocument/2006/relationships/pivotCacheDefinition" Target="pivotCache/pivotCacheDefinition9.xml"/><Relationship Id="rId24" Type="http://schemas.microsoft.com/office/2017/06/relationships/rdSupportingPropertyBagStructure" Target="richData/rdsupportingpropertybagstructur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microsoft.com/office/2020/07/relationships/rdRichValueWebImage" Target="richData/rdRichValueWebImage.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microsoft.com/office/2017/06/relationships/rdArray" Target="richData/rdarray.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6.xml"/><Relationship Id="rId51" Type="http://schemas.openxmlformats.org/officeDocument/2006/relationships/customXml" Target="../customXml/item2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aredStrings" Target="sharedStrings.xml"/><Relationship Id="rId25" Type="http://schemas.microsoft.com/office/2017/06/relationships/rdSupportingPropertyBag" Target="richData/rdsupportingpropertybag.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7/06/relationships/rdRichValue" Target="richData/rdrichvalue.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connections" Target="connections.xml"/><Relationship Id="rId23" Type="http://schemas.microsoft.com/office/2017/06/relationships/richStyles" Target="richData/richStyle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c:f>
              <c:strCache>
                <c:ptCount val="1"/>
                <c:pt idx="0">
                  <c:v>Total</c:v>
                </c:pt>
              </c:strCache>
            </c:strRef>
          </c:tx>
          <c:spPr>
            <a:ln w="28575" cap="rnd">
              <a:solidFill>
                <a:schemeClr val="accent1"/>
              </a:solidFill>
              <a:round/>
            </a:ln>
            <a:effectLst/>
          </c:spPr>
          <c:marker>
            <c:symbol val="none"/>
          </c:marker>
          <c:cat>
            <c:multiLvlStrRef>
              <c:f>Pivots!$G$2:$G$19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Pivots!$H$2:$H$19</c:f>
              <c:numCache>
                <c:formatCode>\$#,##0.0;\(\$#,##0.0\);\$#,##0.0</c:formatCode>
                <c:ptCount val="12"/>
                <c:pt idx="0">
                  <c:v>3378</c:v>
                </c:pt>
                <c:pt idx="1">
                  <c:v>3977.52</c:v>
                </c:pt>
                <c:pt idx="2">
                  <c:v>3773</c:v>
                </c:pt>
                <c:pt idx="3">
                  <c:v>3807.76</c:v>
                </c:pt>
                <c:pt idx="4">
                  <c:v>4374</c:v>
                </c:pt>
                <c:pt idx="5">
                  <c:v>3941.52</c:v>
                </c:pt>
                <c:pt idx="6">
                  <c:v>4540</c:v>
                </c:pt>
                <c:pt idx="7">
                  <c:v>3951.52</c:v>
                </c:pt>
                <c:pt idx="8">
                  <c:v>4312</c:v>
                </c:pt>
                <c:pt idx="9">
                  <c:v>4083</c:v>
                </c:pt>
                <c:pt idx="10">
                  <c:v>3992.88</c:v>
                </c:pt>
                <c:pt idx="11">
                  <c:v>4541</c:v>
                </c:pt>
              </c:numCache>
            </c:numRef>
          </c:val>
          <c:smooth val="0"/>
          <c:extLst>
            <c:ext xmlns:c16="http://schemas.microsoft.com/office/drawing/2014/chart" uri="{C3380CC4-5D6E-409C-BE32-E72D297353CC}">
              <c16:uniqueId val="{00000000-4CA9-484A-A8AB-DBB2E0C09DD1}"/>
            </c:ext>
          </c:extLst>
        </c:ser>
        <c:dLbls>
          <c:showLegendKey val="0"/>
          <c:showVal val="0"/>
          <c:showCatName val="0"/>
          <c:showSerName val="0"/>
          <c:showPercent val="0"/>
          <c:showBubbleSize val="0"/>
        </c:dLbls>
        <c:smooth val="0"/>
        <c:axId val="1181287744"/>
        <c:axId val="1181308864"/>
      </c:lineChart>
      <c:catAx>
        <c:axId val="11812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308864"/>
        <c:crosses val="autoZero"/>
        <c:auto val="1"/>
        <c:lblAlgn val="ctr"/>
        <c:lblOffset val="100"/>
        <c:noMultiLvlLbl val="0"/>
      </c:catAx>
      <c:valAx>
        <c:axId val="118130886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c:f>
              <c:strCache>
                <c:ptCount val="1"/>
                <c:pt idx="0">
                  <c:v>Total</c:v>
                </c:pt>
              </c:strCache>
            </c:strRef>
          </c:tx>
          <c:spPr>
            <a:solidFill>
              <a:schemeClr val="accent1"/>
            </a:solidFill>
            <a:ln>
              <a:noFill/>
            </a:ln>
            <a:effectLst/>
          </c:spPr>
          <c:invertIfNegative val="0"/>
          <c:cat>
            <c:multiLvlStrRef>
              <c:f>Pivots!$J$2:$J$19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Pivots!$K$2:$K$19</c:f>
              <c:numCache>
                <c:formatCode>0.00%</c:formatCode>
                <c:ptCount val="12"/>
                <c:pt idx="1">
                  <c:v>1.8144021198072725E-2</c:v>
                </c:pt>
                <c:pt idx="2">
                  <c:v>2.4703059468592324E-2</c:v>
                </c:pt>
                <c:pt idx="4">
                  <c:v>0.13712007988726618</c:v>
                </c:pt>
                <c:pt idx="5">
                  <c:v>-5.6745546712106673E-2</c:v>
                </c:pt>
                <c:pt idx="7">
                  <c:v>-3.4256405283296168E-2</c:v>
                </c:pt>
                <c:pt idx="8">
                  <c:v>1.5410083394839475E-2</c:v>
                </c:pt>
                <c:pt idx="10">
                  <c:v>-0.12554583925937959</c:v>
                </c:pt>
                <c:pt idx="11">
                  <c:v>0.12469438727008643</c:v>
                </c:pt>
              </c:numCache>
            </c:numRef>
          </c:val>
          <c:extLst>
            <c:ext xmlns:c16="http://schemas.microsoft.com/office/drawing/2014/chart" uri="{C3380CC4-5D6E-409C-BE32-E72D297353CC}">
              <c16:uniqueId val="{00000000-E33C-46D7-9827-8B1D9F40ABF5}"/>
            </c:ext>
          </c:extLst>
        </c:ser>
        <c:dLbls>
          <c:showLegendKey val="0"/>
          <c:showVal val="0"/>
          <c:showCatName val="0"/>
          <c:showSerName val="0"/>
          <c:showPercent val="0"/>
          <c:showBubbleSize val="0"/>
        </c:dLbls>
        <c:gapWidth val="150"/>
        <c:axId val="100072848"/>
        <c:axId val="100075248"/>
      </c:barChart>
      <c:catAx>
        <c:axId val="1000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5248"/>
        <c:crosses val="autoZero"/>
        <c:auto val="1"/>
        <c:lblAlgn val="ctr"/>
        <c:lblOffset val="100"/>
        <c:noMultiLvlLbl val="0"/>
      </c:catAx>
      <c:valAx>
        <c:axId val="10007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Pivots!$N$1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Pivots!$M$2:$M$5</c:f>
              <c:strCache>
                <c:ptCount val="3"/>
                <c:pt idx="0">
                  <c:v>Electricity</c:v>
                </c:pt>
                <c:pt idx="1">
                  <c:v>Gas</c:v>
                </c:pt>
                <c:pt idx="2">
                  <c:v>Water</c:v>
                </c:pt>
              </c:strCache>
            </c:strRef>
          </c:cat>
          <c:val>
            <c:numRef>
              <c:f>Pivots!$N$2:$N$5</c:f>
              <c:numCache>
                <c:formatCode>\$#,##0;\(\$#,##0\);\$#,##0</c:formatCode>
                <c:ptCount val="3"/>
                <c:pt idx="0">
                  <c:v>394720.00000000017</c:v>
                </c:pt>
                <c:pt idx="1">
                  <c:v>504523</c:v>
                </c:pt>
                <c:pt idx="2">
                  <c:v>2259326.3000000003</c:v>
                </c:pt>
              </c:numCache>
            </c:numRef>
          </c:val>
          <c:extLst>
            <c:ext xmlns:c16="http://schemas.microsoft.com/office/drawing/2014/chart" uri="{C3380CC4-5D6E-409C-BE32-E72D297353CC}">
              <c16:uniqueId val="{00000006-9100-4E1E-BC27-28A27DDCBC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Pivots!$Q$1</c:f>
              <c:strCache>
                <c:ptCount val="1"/>
                <c:pt idx="0">
                  <c:v>Total</c:v>
                </c:pt>
              </c:strCache>
            </c:strRef>
          </c:tx>
          <c:spPr>
            <a:solidFill>
              <a:schemeClr val="accent1"/>
            </a:solidFill>
            <a:ln>
              <a:noFill/>
            </a:ln>
            <a:effectLst/>
          </c:spPr>
          <c:invertIfNegative val="0"/>
          <c:cat>
            <c:strRef>
              <c:f>Pivots!$P$2:$P$7</c:f>
              <c:strCache>
                <c:ptCount val="5"/>
                <c:pt idx="0">
                  <c:v>B1006</c:v>
                </c:pt>
                <c:pt idx="1">
                  <c:v>B1010</c:v>
                </c:pt>
                <c:pt idx="2">
                  <c:v>B1005</c:v>
                </c:pt>
                <c:pt idx="3">
                  <c:v>B1004</c:v>
                </c:pt>
                <c:pt idx="4">
                  <c:v>B1007</c:v>
                </c:pt>
              </c:strCache>
            </c:strRef>
          </c:cat>
          <c:val>
            <c:numRef>
              <c:f>Pivots!$Q$2:$Q$7</c:f>
              <c:numCache>
                <c:formatCode>\$#,##0;\(\$#,##0\);\$#,##0</c:formatCode>
                <c:ptCount val="5"/>
                <c:pt idx="0">
                  <c:v>326749.59000000003</c:v>
                </c:pt>
                <c:pt idx="1">
                  <c:v>307442.37</c:v>
                </c:pt>
                <c:pt idx="2">
                  <c:v>298937.79999999993</c:v>
                </c:pt>
                <c:pt idx="3">
                  <c:v>292112.86000000004</c:v>
                </c:pt>
                <c:pt idx="4">
                  <c:v>286585.84999999998</c:v>
                </c:pt>
              </c:numCache>
            </c:numRef>
          </c:val>
          <c:extLst>
            <c:ext xmlns:c16="http://schemas.microsoft.com/office/drawing/2014/chart" uri="{C3380CC4-5D6E-409C-BE32-E72D297353CC}">
              <c16:uniqueId val="{00000000-30A4-4BB8-B434-E3A6C64423B1}"/>
            </c:ext>
          </c:extLst>
        </c:ser>
        <c:dLbls>
          <c:showLegendKey val="0"/>
          <c:showVal val="0"/>
          <c:showCatName val="0"/>
          <c:showSerName val="0"/>
          <c:showPercent val="0"/>
          <c:showBubbleSize val="0"/>
        </c:dLbls>
        <c:gapWidth val="182"/>
        <c:axId val="2110006927"/>
        <c:axId val="325800688"/>
      </c:barChart>
      <c:catAx>
        <c:axId val="211000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00688"/>
        <c:crosses val="autoZero"/>
        <c:auto val="1"/>
        <c:lblAlgn val="ctr"/>
        <c:lblOffset val="100"/>
        <c:noMultiLvlLbl val="0"/>
      </c:catAx>
      <c:valAx>
        <c:axId val="3258006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(2).xlsx]Pivots!PivotTable7</c:name>
    <c:fmtId val="4"/>
  </c:pivotSource>
  <c:chart>
    <c:autoTitleDeleted val="1"/>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pieChart>
        <c:varyColors val="1"/>
        <c:ser>
          <c:idx val="0"/>
          <c:order val="0"/>
          <c:tx>
            <c:strRef>
              <c:f>Pivots!$N$1</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Pivots!$M$2:$M$5</c:f>
              <c:strCache>
                <c:ptCount val="3"/>
                <c:pt idx="0">
                  <c:v>Electricity</c:v>
                </c:pt>
                <c:pt idx="1">
                  <c:v>Gas</c:v>
                </c:pt>
                <c:pt idx="2">
                  <c:v>Water</c:v>
                </c:pt>
              </c:strCache>
            </c:strRef>
          </c:cat>
          <c:val>
            <c:numRef>
              <c:f>Pivots!$N$2:$N$5</c:f>
              <c:numCache>
                <c:formatCode>\$#,##0;\(\$#,##0\);\$#,##0</c:formatCode>
                <c:ptCount val="3"/>
                <c:pt idx="0">
                  <c:v>394720.00000000017</c:v>
                </c:pt>
                <c:pt idx="1">
                  <c:v>504523</c:v>
                </c:pt>
                <c:pt idx="2">
                  <c:v>2259326.3000000003</c:v>
                </c:pt>
              </c:numCache>
            </c:numRef>
          </c:val>
          <c:extLst>
            <c:ext xmlns:c16="http://schemas.microsoft.com/office/drawing/2014/chart" uri="{C3380CC4-5D6E-409C-BE32-E72D297353CC}">
              <c16:uniqueId val="{00000006-907C-495B-9E75-B885DCEE3D0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(2).xlsx]Pivots!PivotTable8</c:name>
    <c:fmtId val="4"/>
  </c:pivotSource>
  <c:chart>
    <c:autoTitleDeleted val="1"/>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clip" horzOverflow="clip" vert="horz" wrap="square" anchor="ctr" anchorCtr="1">
              <a:no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71009007694648962"/>
                  <c:h val="0.17856985993438754"/>
                </c:manualLayout>
              </c15:layout>
            </c:ext>
          </c:extLst>
        </c:dLbl>
      </c:pivotFmt>
      <c:pivotFmt>
        <c:idx val="4"/>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pivotFmt>
      <c:pivotFmt>
        <c:idx val="5"/>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pivotFmt>
      <c:pivotFmt>
        <c:idx val="6"/>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45132952164387286"/>
                  <c:h val="0.17856985993438754"/>
                </c:manualLayout>
              </c15:layout>
            </c:ext>
          </c:extLst>
        </c:dLbl>
      </c:pivotFmt>
      <c:pivotFmt>
        <c:idx val="7"/>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39063260126424665"/>
                  <c:h val="0.17856985993438754"/>
                </c:manualLayout>
              </c15:layout>
            </c:ext>
          </c:extLst>
        </c:dLbl>
      </c:pivotFmt>
      <c:pivotFmt>
        <c:idx val="8"/>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059289254613295"/>
                  <c:h val="0.18174539631705364"/>
                </c:manualLayout>
              </c15:layout>
            </c:ext>
          </c:extLst>
        </c:dLbl>
      </c:pivotFmt>
    </c:pivotFmts>
    <c:plotArea>
      <c:layout/>
      <c:barChart>
        <c:barDir val="bar"/>
        <c:grouping val="clustered"/>
        <c:varyColors val="0"/>
        <c:ser>
          <c:idx val="0"/>
          <c:order val="0"/>
          <c:tx>
            <c:strRef>
              <c:f>Pivots!$Q$1</c:f>
              <c:strCache>
                <c:ptCount val="1"/>
                <c:pt idx="0">
                  <c:v>Total</c:v>
                </c:pt>
              </c:strCache>
            </c:strRef>
          </c:tx>
          <c:spPr>
            <a:solidFill>
              <a:schemeClr val="accent6"/>
            </a:solidFill>
            <a:ln>
              <a:noFill/>
            </a:ln>
            <a:effectLst/>
          </c:spPr>
          <c:invertIfNegative val="0"/>
          <c:dPt>
            <c:idx val="0"/>
            <c:invertIfNegative val="0"/>
            <c:bubble3D val="0"/>
          </c:dPt>
          <c:dLbls>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dLbl>
              <c:idx val="3"/>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059289254613295"/>
                      <c:h val="0.18174539631705364"/>
                    </c:manualLayout>
                  </c15:layout>
                </c:ext>
              </c:extLst>
            </c:dLbl>
            <c:spPr>
              <a:noFill/>
              <a:ln>
                <a:noFill/>
              </a:ln>
              <a:effectLst/>
            </c:spPr>
            <c:txPr>
              <a:bodyPr rot="0" spcFirstLastPara="1" vertOverflow="clip" horzOverflow="clip" vert="horz" wrap="square" anchor="ctr" anchorCtr="1">
                <a:no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Pivots!$P$2:$P$7</c:f>
              <c:strCache>
                <c:ptCount val="5"/>
                <c:pt idx="0">
                  <c:v>B1006</c:v>
                </c:pt>
                <c:pt idx="1">
                  <c:v>B1010</c:v>
                </c:pt>
                <c:pt idx="2">
                  <c:v>B1005</c:v>
                </c:pt>
                <c:pt idx="3">
                  <c:v>B1004</c:v>
                </c:pt>
                <c:pt idx="4">
                  <c:v>B1007</c:v>
                </c:pt>
              </c:strCache>
            </c:strRef>
          </c:cat>
          <c:val>
            <c:numRef>
              <c:f>Pivots!$Q$2:$Q$7</c:f>
              <c:numCache>
                <c:formatCode>\$#,##0;\(\$#,##0\);\$#,##0</c:formatCode>
                <c:ptCount val="5"/>
                <c:pt idx="0">
                  <c:v>326749.59000000003</c:v>
                </c:pt>
                <c:pt idx="1">
                  <c:v>307442.37</c:v>
                </c:pt>
                <c:pt idx="2">
                  <c:v>298937.79999999993</c:v>
                </c:pt>
                <c:pt idx="3">
                  <c:v>292112.86000000004</c:v>
                </c:pt>
                <c:pt idx="4">
                  <c:v>286585.84999999998</c:v>
                </c:pt>
              </c:numCache>
            </c:numRef>
          </c:val>
          <c:extLst>
            <c:ext xmlns:c16="http://schemas.microsoft.com/office/drawing/2014/chart" uri="{C3380CC4-5D6E-409C-BE32-E72D297353CC}">
              <c16:uniqueId val="{00000005-FD3A-4943-80FC-D15A989ECB17}"/>
            </c:ext>
          </c:extLst>
        </c:ser>
        <c:dLbls>
          <c:dLblPos val="inBase"/>
          <c:showLegendKey val="0"/>
          <c:showVal val="1"/>
          <c:showCatName val="0"/>
          <c:showSerName val="0"/>
          <c:showPercent val="0"/>
          <c:showBubbleSize val="0"/>
        </c:dLbls>
        <c:gapWidth val="182"/>
        <c:axId val="2110006927"/>
        <c:axId val="325800688"/>
      </c:barChart>
      <c:catAx>
        <c:axId val="2110006927"/>
        <c:scaling>
          <c:orientation val="minMax"/>
        </c:scaling>
        <c:delete val="1"/>
        <c:axPos val="l"/>
        <c:numFmt formatCode="General" sourceLinked="1"/>
        <c:majorTickMark val="none"/>
        <c:minorTickMark val="none"/>
        <c:tickLblPos val="nextTo"/>
        <c:crossAx val="325800688"/>
        <c:crosses val="autoZero"/>
        <c:auto val="1"/>
        <c:lblAlgn val="ctr"/>
        <c:lblOffset val="100"/>
        <c:noMultiLvlLbl val="0"/>
      </c:catAx>
      <c:valAx>
        <c:axId val="325800688"/>
        <c:scaling>
          <c:orientation val="minMax"/>
        </c:scaling>
        <c:delete val="1"/>
        <c:axPos val="b"/>
        <c:numFmt formatCode="\$#,##0;\(\$#,##0\);\$#,##0" sourceLinked="1"/>
        <c:majorTickMark val="none"/>
        <c:minorTickMark val="none"/>
        <c:tickLblPos val="nextTo"/>
        <c:crossAx val="2110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0"/>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(2).xlsx]Pivots!PivotTable6</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c:f>
              <c:strCache>
                <c:ptCount val="1"/>
                <c:pt idx="0">
                  <c:v>Total</c:v>
                </c:pt>
              </c:strCache>
            </c:strRef>
          </c:tx>
          <c:spPr>
            <a:solidFill>
              <a:schemeClr val="accent6"/>
            </a:solidFill>
            <a:ln>
              <a:noFill/>
            </a:ln>
            <a:effectLst/>
          </c:spPr>
          <c:invertIfNegative val="0"/>
          <c:cat>
            <c:multiLvlStrRef>
              <c:f>Pivots!$J$2:$J$19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Pivots!$K$2:$K$19</c:f>
              <c:numCache>
                <c:formatCode>0.00%</c:formatCode>
                <c:ptCount val="12"/>
                <c:pt idx="1">
                  <c:v>1.8144021198072725E-2</c:v>
                </c:pt>
                <c:pt idx="2">
                  <c:v>2.4703059468592324E-2</c:v>
                </c:pt>
                <c:pt idx="4">
                  <c:v>0.13712007988726618</c:v>
                </c:pt>
                <c:pt idx="5">
                  <c:v>-5.6745546712106673E-2</c:v>
                </c:pt>
                <c:pt idx="7">
                  <c:v>-3.4256405283296168E-2</c:v>
                </c:pt>
                <c:pt idx="8">
                  <c:v>1.5410083394839475E-2</c:v>
                </c:pt>
                <c:pt idx="10">
                  <c:v>-0.12554583925937959</c:v>
                </c:pt>
                <c:pt idx="11">
                  <c:v>0.12469438727008643</c:v>
                </c:pt>
              </c:numCache>
            </c:numRef>
          </c:val>
          <c:extLst>
            <c:ext xmlns:c16="http://schemas.microsoft.com/office/drawing/2014/chart" uri="{C3380CC4-5D6E-409C-BE32-E72D297353CC}">
              <c16:uniqueId val="{00000000-3A8B-4E5D-8BB5-30A7F0CA2211}"/>
            </c:ext>
          </c:extLst>
        </c:ser>
        <c:dLbls>
          <c:showLegendKey val="0"/>
          <c:showVal val="0"/>
          <c:showCatName val="0"/>
          <c:showSerName val="0"/>
          <c:showPercent val="0"/>
          <c:showBubbleSize val="0"/>
        </c:dLbls>
        <c:gapWidth val="150"/>
        <c:axId val="100072848"/>
        <c:axId val="100075248"/>
      </c:barChart>
      <c:catAx>
        <c:axId val="100072848"/>
        <c:scaling>
          <c:orientation val="minMax"/>
        </c:scaling>
        <c:delete val="1"/>
        <c:axPos val="b"/>
        <c:numFmt formatCode="General" sourceLinked="1"/>
        <c:majorTickMark val="none"/>
        <c:minorTickMark val="none"/>
        <c:tickLblPos val="nextTo"/>
        <c:crossAx val="100075248"/>
        <c:crosses val="autoZero"/>
        <c:auto val="1"/>
        <c:lblAlgn val="ctr"/>
        <c:lblOffset val="100"/>
        <c:noMultiLvlLbl val="0"/>
      </c:catAx>
      <c:valAx>
        <c:axId val="1000752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000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[energy1 (2).xlsx]Pivots!PivotTable5</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c:f>
              <c:strCache>
                <c:ptCount val="1"/>
                <c:pt idx="0">
                  <c:v>Total</c:v>
                </c:pt>
              </c:strCache>
            </c:strRef>
          </c:tx>
          <c:spPr>
            <a:ln w="28575" cap="rnd">
              <a:solidFill>
                <a:schemeClr val="accent6"/>
              </a:solidFill>
              <a:round/>
            </a:ln>
            <a:effectLst/>
          </c:spPr>
          <c:marker>
            <c:symbol val="none"/>
          </c:marker>
          <c:cat>
            <c:multiLvlStrRef>
              <c:f>Pivots!$G$2:$G$19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2016</c:v>
                  </c:pt>
                </c:lvl>
              </c:multiLvlStrCache>
            </c:multiLvlStrRef>
          </c:cat>
          <c:val>
            <c:numRef>
              <c:f>Pivots!$H$2:$H$19</c:f>
              <c:numCache>
                <c:formatCode>\$#,##0.0;\(\$#,##0.0\);\$#,##0.0</c:formatCode>
                <c:ptCount val="12"/>
                <c:pt idx="0">
                  <c:v>3378</c:v>
                </c:pt>
                <c:pt idx="1">
                  <c:v>3977.52</c:v>
                </c:pt>
                <c:pt idx="2">
                  <c:v>3773</c:v>
                </c:pt>
                <c:pt idx="3">
                  <c:v>3807.76</c:v>
                </c:pt>
                <c:pt idx="4">
                  <c:v>4374</c:v>
                </c:pt>
                <c:pt idx="5">
                  <c:v>3941.52</c:v>
                </c:pt>
                <c:pt idx="6">
                  <c:v>4540</c:v>
                </c:pt>
                <c:pt idx="7">
                  <c:v>3951.52</c:v>
                </c:pt>
                <c:pt idx="8">
                  <c:v>4312</c:v>
                </c:pt>
                <c:pt idx="9">
                  <c:v>4083</c:v>
                </c:pt>
                <c:pt idx="10">
                  <c:v>3992.88</c:v>
                </c:pt>
                <c:pt idx="11">
                  <c:v>4541</c:v>
                </c:pt>
              </c:numCache>
            </c:numRef>
          </c:val>
          <c:smooth val="0"/>
          <c:extLst>
            <c:ext xmlns:c16="http://schemas.microsoft.com/office/drawing/2014/chart" uri="{C3380CC4-5D6E-409C-BE32-E72D297353CC}">
              <c16:uniqueId val="{00000000-54EC-407C-A819-9E66748D3321}"/>
            </c:ext>
          </c:extLst>
        </c:ser>
        <c:dLbls>
          <c:showLegendKey val="0"/>
          <c:showVal val="0"/>
          <c:showCatName val="0"/>
          <c:showSerName val="0"/>
          <c:showPercent val="0"/>
          <c:showBubbleSize val="0"/>
        </c:dLbls>
        <c:smooth val="0"/>
        <c:axId val="1181287744"/>
        <c:axId val="1181308864"/>
      </c:lineChart>
      <c:catAx>
        <c:axId val="1181287744"/>
        <c:scaling>
          <c:orientation val="minMax"/>
        </c:scaling>
        <c:delete val="1"/>
        <c:axPos val="b"/>
        <c:numFmt formatCode="General" sourceLinked="1"/>
        <c:majorTickMark val="none"/>
        <c:minorTickMark val="none"/>
        <c:tickLblPos val="nextTo"/>
        <c:crossAx val="1181308864"/>
        <c:crosses val="autoZero"/>
        <c:auto val="1"/>
        <c:lblAlgn val="ctr"/>
        <c:lblOffset val="100"/>
        <c:noMultiLvlLbl val="0"/>
      </c:catAx>
      <c:valAx>
        <c:axId val="1181308864"/>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18128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14808</cx:pt>
          <cx:pt idx="1">33145</cx:pt>
          <cx:pt idx="2">5599</cx:pt>
          <cx:pt idx="3">23161</cx:pt>
          <cx:pt idx="4">1945</cx:pt>
        </cx:lvl>
      </cx:strDim>
      <cx:strDim type="cat">
        <cx:f>_xlchart.v6.1</cx:f>
        <cx:nf>_xlchart.v6.0</cx:nf>
      </cx:strDim>
      <cx:numDim type="colorVal">
        <cx:f>_xlchart.v6.3</cx:f>
        <cx:nf>_xlchart.v6.2</cx:nf>
      </cx:numDim>
    </cx:data>
  </cx:chartData>
  <cx:chart>
    <cx:title pos="t" align="ctr" overlay="0"/>
    <cx:plotArea>
      <cx:plotAreaRegion>
        <cx:series layoutId="regionMap" uniqueId="{EA7BBFB6-03A8-4488-B677-DB6A8381F6EB}">
          <cx:tx>
            <cx:txData>
              <cx:f>_xlchart.v6.2</cx:f>
              <cx:v>Cost</cx:v>
            </cx:txData>
          </cx:tx>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T87ObDluXOnWT8QIzsMtWYNmy5Kl3dYNw7K7OZMASHB6+v+D5X3OtryPHf/pi66wVCoSIJDIXLnW
qsthr6L2rrIoW269Rm76kf6PvZfpWFYtk/L7B/DrnYCIh36I1ACA/JcSDaSNjv5mq29+uLDlTpsT
7k5zCtSiR/9YxbkfvijNFMh0hIUavgz2NqvkOFeDLZY/PJWfS3BWA+cvGrEAFYJpyryviifyp3oD
b/qaJ3sfqPMgBafe0cq7MdnOW6xWlsjvx++8i2RcEwSFXcJGJRXx3pf9RbIjwBKT9VpWpHLWBc0d
syG6dSjHIdNL7e9+VnXj5op0pVJhIoLKLvVjJ0L4EL0F2RWiZ9kpyKXwa9yHbq768fX3t/nz4e9H
gNQ2FZsP54EYTpn784LRSx7D8NjX11VNikVgw9Di+djrAqEMXqo3W4+CxNpsmmkZzEslCv2H5/PL
ZNGiNVUNgDYJk09o+/k2YglsvY3h8Nq3gaHk1EQvoDyosvAgrj1omM2XsdCq+fKjS6JEpwzN0aoN
NipLoq2J/N/Rw77a2/naXxsxdH8IK877ZW16rsClYUQRAqb4vpW4eksvkn73XkcotbRXYTCLVt/L
fapEny1yM20ugIDvTO1NdiChcbNv1iN0hPwSeK2ti6zbd3u7hhHZ0xnoEzuk9aIDGIUPYZcUe5e5
Hi14UAiEgU5/Ze+JIao0VW4YI79//u8qPCIVfQx0OSHsziAMWKw/zzwrs5dzP4uXKBiCOsiETUNT
ApFqo9GjR/pdnLC9Rc9W+/wOpgDhRDi5KZXXZfJCedILnPg/7SH/fRQHBycZobtnyk/27rtl0UBV
6PJyEC9CsYvk0Rub2L91ndKDGjNqg/K/Ecq6ct22KNWlWmSZEfCX8KGQe25dqM4H+FWWpuMdV6FJ
ENY36l2jA/N4htEzTNk3hqBQNbTlvQ0b08hqW3NoVcw+D2joE4OQwyeB8RN3KxVY6gX1xsu424bE
IYLRG09hBMvLzZq1qEgw5PfLJ3Fh1BDxsJoG2UDywJ1XVm9yg0kEHbq6MewpKJNZOfOj7w37dKNU
k6u0hcHndplVAKxcgBsvxec+7nP/ebZn09+PKInhK8OkI0X5/dp4HzWZfUo1CA0I1MLgl4aul299
4SSifdmdDi1lugI+CEO3rIf20tNyIVD8/orvoxHQBmJdh3Pb8Tm737eQR2WjNum85bO3a7MYF0Be
wp87QtiSp3CWQfgCp35nES6unsbiFqQAvPMPu9yks/+BtJDlRiFFLGcFAg0IA++RTIQWWlpJ2D13
lGYTnPMBLejfgywNebxsxt45qjwaqnt6I6blIMpgKNBiTO48pDBQlnZOJ7eQ120eh48rgrt4Q8zj
0P2fYsuuMhnsK42qFeIDolM/B7HzYbSazU4rY34Y5pLs4jI3AAM7H9Kl9wGaAZKZ1GsU7Kjz7yf+
fVxDJw2w4ppRM1pQxHcgdRPCdlrkGD3NujdssUDBuL12592sW58ky78onWVl2a5NYtphxfQ9s4VV
YZa0p+vFzR/zFYwF5qesdvqxlXDBi4613KGqnGQ7C0P+CraGXZcv4Cde6mygKc8qcgzf6PdDcn/G
rkynMqbfju4M5s9/aQ8Dt3QotXr3KZ5Kj701icLcwGR5Rqnyto9d2zbEyRwNAFucWGlCihKSg8Yq
HdJ4Zw3Mj+DQIH5tkxpZS7UgFJDpm+DjByG/9MwQt6ILx1NjRco7CVAFb8w2zguG+4ehvcsyTYvQ
8RAIslVsZOnvUQ5gTidq9bA9eQXFeYMmwojNdpjgw9fJjhsXdGUa5P4cwXshuHXWYEimdDmMbmDv
QoeuauJZenkiSzVEpSWqPVafN8Pr/AdlccISQ1Ri+tmjJmxeVJT7hDVakyYKVlNu8y9qLIep6Aof
Vuk0RaatGrSIF5C8Ja5R/bzNjwmFxh3g/xS2/6UKerdHv7cuXc4vOsZOYv+S6jrL7odbKK1PqAEH
osNbeusifpybjMqyLPo/hYV3x5G5pA9Q4tocSzYd+HfHkSE7+6FYo0+jdlgh0zZNLCjOfubHr4U/
BMd8saBQpWHrGbVaO9Ps+dIR9JgluBjtdB+FY5zXp3zykdxObMj5QbUD71o7i40/rT0H1Y/HVsil
ZyqRMBoOCLvIPI4ClI2pt+rK4SXZ6mR+sAfU7tU5aBrOJkj4pk79/WzDLvk5JjJ4cwgQJBwHvtYv
FRXp4GgV9rp9KsstbPN00o0H52Ox8/oudHdfbUdZqlDE6U8iELvV3kq/8Rf9h0SdWHy1q9a+WHLt
h4f/lwjEn1HF7oc/Cz9s5SSHvldoCOp10n8QfqxWUPv16SfJh706etHn32g9VMlSFJfrd5WHHEUd
/qTwWMLBrZ613xY5fcfpvbYDm4al+a2qo4AnWNrHNyXHBjDcWE+/Sjg4MSL9LfhP8YZAaF2OH/+/
9Bp6WhY7a9pldOqL/4VSY3W8WPm3uzfMLOndUaMoP0JVnJBx970vRHSpk7wCfO2DtZHFsYbsCqC5
BHlRVafc7xYdPOQ9vObLsPbLIj6xVkIPJde828a9YozRsqaF5Ye0+ctc7fV2uUBQLqvzUnWcNlmT
LD4Blv6eRpxt6TAYL1EFLVaeLYghwBe0IOtK0mnz4jX8ANMu4mV6+6FVVbQGUgwufC63D6MvX3ct
E3e+qkMUXe6Fs1pWFGVbHTQ6Oq997XTIZvzZnIt2gNR2vim8gEPly5pvoZ1kdVAmQfEBccYiovs6
t+qlPUWNZ7nistFbEs8fwtpDdJjKJDGYRKSmoGye0cLn1n7t+7CYi6MFndnpbonasgyukU+rqL1x
Klk57X1dL3WcH5eaQIBItHI87p2QZW5pm1FMuUe7KLdKHmwjro0P/QQ/o//LLdye63V1myRPuoil
zBSlNzPrxlD2wzlzwtJ8CPdPypJKmZic3i9HRp+JEsVFeIKSYmbMa6eGl2EsJ+ux7yIT8n26YnGU
Jcs0sAD2nnzjPCWq433ibajlFOxMn6wNds5ZMhpThbZ0KDJ7pzKPx4Ew6Qb/Qotn5rn3UZTA79CW
4lFYfROX/t9SUtDIk6oqMq1siR0EvVkVlwFUdSRKWurnqe51hfdKZZX7cC717jvrbVxH5pYrnrTY
H0NWFlfw+JV8RUphFhg0CvPkg83iZ23SmamZZ6iHNE0mNCDcw4xOhzH+GI9SnidfAdzA6rNgFUP4
2AR+nniZvyQAQKmISoe5+LF68n1M+MiotszgcvRNvEjNqqFr85bjJsFubFsQFyEU9OxKWY8/ptp6
e/u/J/ntfSAFLmRvV3TcAArRcn5tqlBU6lz13sagpbuvXKRwPdgljxTgxZCkwduDGvZ5YqlReWtV
XNIj3vIgdZpy3sIPSacHZgnjhpa3uAKMTWXAHPmcpA3MEh530cFDYI9GhS1fk7cZhE9kBMg/xlS6
FTVaJtDvLM4FejfD7bHfHu3b8gjzpmV+Qh9mLNYPEc16la3hVrJOizc6T+mXIT/cBmlH5dNuVb6e
aNqXnpnet4W0601zlwzSfIpTqZHrwHvyWF3jVJpbf5tQa192/jG03uBHR+hffVNf7m4QreJcfG/i
HJfKaFRukhobnkcMbXi+1Ry58tUJi57lMwZkrAxezSS7H0awbPOB7mxe/LmIeWl722wH2oRmmnod
FuXypNsCh6BTX8R8LnxFp/AumnGLnAmRx/e1UtVjMkXnH1Oe1LNiMGuFjnZBxrYOXLwWFeT98+zI
PbSfyNzqeD6gmYdGmkG7zLl4UJcDJdPUIp29bAEMgGx4TKW+jIbCbGeNyJKfNYgQ6viEnMJdtysv
GeFMXUz+YHdd1iZ+2yEaHtEwXNIyggiW0sgceSFpDNq7Tmr+j2QX3C6wFweoSILlt3dzM+WAAouq
ubpTFsP8HPb5ShWQb7tZ+0tCKK9PqydR0qexKpFw/NsYYLX6PBkvgwRp4frZpvVJvCnaYUDj8ANO
rqe2VJDES4g/4iumFngMXYi6ZDrO3vc9IwfkrDz2fGny/RmJ7bBMT9JbyiW8mN6GvibFyBR5Yt0b
RtRAVw2w8bEdotykfDN9zirMqgGvMkv8DT+NIeEyA47GpsdKpwpOl5UqFjjvlxXoo5VCcQjDF2R3
TZ8gpK62sLv1hKN4R7g5poadAyRljz9AFpTorUIf2EuVu5dFLuH+pog/DPSWU5aDGsrAb4Aoc6eh
9O06aqc+m1qAieC6a0KznyY0IYDwRRNPhEovzDfOvHEj0tQnaj0zeUiRDFSAELkBi69b6NLBtdpa
Rvl5IT3LraslH5Wq7hKvNiDloDnubqMGBuv0EWVGt+XHNa+trTwhoQja8QB0QYc+RUwUhy9+4TmU
5P/2nbD8nVGFfWeOjS7IzXJTrnJYfG8zWU8DSLRX2XCRr5Y96PLoY7PrxXpUJNOgCruQSfhCvGV9
WYvYmYEa2olZRgIivzxRXhqUqq3IV8msk25YxEuYbKV0Xv21Ddu7MJRiy0++O4yT9c9SOfWaHznR
vBZbjRb828ri1onUM4jk0kyf7ELWRZHlweaV68MSkdvIb8lczdL9PGLOoeyzavTcJZnl7mPzjIjb
9Yd/6+snxxng1cAFS7SjWeVdnbjZzA+taE6jhc7UevgxkrdnafiITA8cQqNYzL+Hm7adTfxLUKfz
QvZvNi8NbfOO/jt6n9eu+RlELIt3bMVm3ph7oBPdkcrd9DYgFQq2crF6U363T5sjjjUb1ezKpDO/
+bFkkQUTiaD+ml+9QfAmnFpFhj5WeVHquMqO73UZFcuQLnYPYO9v+KC4l4bhwh8V1m7gwJE+ES8+
adl0KXeb9e3b9B/uwC3NnWMMxZ/+uFCgEo40yVKxHt8qtr6q96ih0y20/7F5C1jNG9Ao8ZxhNVit
NCDkCF3L9w9d0ckBUwgZautRVwHMk3Ra6OLNV5VbmDSu9FeuEc2tuS3ofdwQrmucI0jvtNnkwjVt
xkO/rGZNRvnuNlUalGPfYSVRt+zG09uEgAOboNfEEHII76Nj1del67VR/Afg611BD5ZDfGAFI2mg
G/8LrFxO9BDAq93HchhwR0ijAt3ko1oGwqy0fLODEJYazcZcSXPvf6jufq7tzOWx9ggDw1n9b9Qa
vQ7WMkZAVW+hsTaiFiAOGirtH9jk7wB0dhP6EJtrAVnx/9CU9f9BYlpiPPByUsl/rxEb55EhkyL3
/Q9RQs+KiByW5qFqbO9YJAgzeWQ/guPvh/0zhAA1l/WD0xODpx3OOnd/vpd89uCBsvUeE5hP4UsV
YGQmT+MYR95xH0id/zTPv14QZzuAA4RILuBi8g5sb3BxctrOzh/k2nNQFA0n/mW0oYsE1vy+s38/
wHesHDNCsFsbdwZIPw7tqHcXXNvaL/qpDR9+RIylhG5tjNu8LQhOqz/G86kW+a4+6sXb6kOnexPP
PUVosMYdVtsfUDnn55XOHVFKIcOiNYoiD4juHdC4YcizRJsnH9q3TYX9hdnjq25y4noVzxWPoPT1
xs5MPA4HUgurNDdSC0/qPZvhUuanAEVuYKcroWXLCPWSt7M/cueu2jzqyWx562eJtzD7+2l9/xh5
cL4Nt5uOieMgA3k3q5y7cnJXa74rx8ZEpv17IiTGoNcfNyvW/s3//noB+i3b/BeG35lx/7FnopVs
xEU0fvfj2FuLUtapPRBZhxR1UfG/gtZw9EJLG4MsErjZqr8w7bwlB4meq/ru7VgiSTZPI2rwxTv2
ozQHxu8HaICz/8tsBJ+FYMhCNaQUOsX8++eNuGz7Wqk9aC7w4FFNkEVdF3kvoWLD/GkL/nopHh3k
yTA2ZGzEJj9fqsPAasNKrLh4S0XmADcL1pErO15+P6ofVIz/GBhYIZdC7IrDAiHkF+WhbdOXwWdy
PKsdMcJ4dIPVsBG07bt6+Gfce3ro2TAWYKtJ2uU71SLkxWJyumtOayg4RTY0AvOOG9cHe7DvcaQp
iuFiIzcIhrt8rRoH4mvu0nL6PEqk+cVR1a7fy2PX6t2dMnuwMUIwzC2gNnTwzuCF98lbP68JKUa8
D3nfOXK9bYpyTqDM6DmsoLjaNVSNCwqNqOoOrVULHsWPBCWy+LMybd7SCjL0mMMi/B7G3kqNZrEJ
3Qt6VEI3paFJA5YZqZJ1MbgxdULvat5AihXq6M4bW5PMWW8RUNAcZbfbInb2Km3GqXP2tMewsK8O
oYiwUYLn+AZ5SI5NbIjeEpnvGRSdtYX53WVsDvFIziBLWLU0oXsU8cAlu4aqYr6y6VZURdau3Ug9
BZ7f1u2TR9qbeHfhNiW+uKxD2zJgwDgrcNbtrQ5LIGl68lA2ugN2BYGJ6DKkNcr5Ic8sPRSL3aXS
gz3k3icyEdFyLGToB/JTsCXzPnyi32A6WuSAthveYZuKa9SnSoA2FwdISNAJTqWSjlNnnUPS+c9G
6TnGV0G4Lu6LE6zbFN8Bm+XiI9LyunGPdT9aNpUwgWOdMnxz6aUfe5wKoOstq7urDe8hkIk5IzWD
u4/xyJYvN00y4ruV0o5eKqrpJFb0RavSHs8+pN7lNbS7ZisPOe57UFW7qO/UXz3Ii6VRQIWm5fYj
Fkn64UV4E3fEbWQaZRu6miz6e54F8G3yxK2fzKHztjTa79lgH7UNJRsulJUW6YwOonOIZMUQcRsu
6sJ0QZ+YfCKID/Gj6PEBOnVVUARpWRTLY7BVAXZG1ZKfUSp6F5Xt7ZedWucLkIzhIVKhm61JUN5F
EH1tzIJm9SlnUV/4RYBhDLuvfK2VaP8q7AqngsSBMxy33nSm2AVScnssooT9MjRsR9Ti4U24VOIQ
+WXJ07UtdarxJDjWQ6U/7HU72UfO7ukYb7bXsmLD7msp9KPr+OJa+VZx3c3jdAxGvIfgvhQX86CT
Q5ks8cdIlJK+vqi+VaPMD22Jh9Tm9/0hyBN5Fe9ud9ryni5wLwLcepp46zO/7vFr4SMvY+qxV7UO
+gzvAVY4Ep1zg0/Bnm5JHZzK2h4ehQ82n+LmJEfIx0PxtKx7/KW1MBdMPN19WmK3OtruZF8hOCyr
dLAsjCqA6U5qGvu/xzrKPwIeVvCVJi/55tDqoZ5xhPMwu3VZncTWW0dn7KaHcfYBHAgFh3FbMc0Y
1dakQbfEWR4leRn/Vc1usl3CQNBfR9evneOANwZlTtWVWzp7Qfx3PAVRd7ByS111GEYEB9+Z6o/r
7DXGrma4DsbJkVkel8MXux7FzRr59vUYOmaF5vCtqUHm5WpVer2Fojpf4lZkXVWNV7qHmOiHWmSB
g73vOElQNgvr8yLk8rfECiNzK2f/Mo714MIoENAH931k5ZataFMYUwo/nn1p1iv8RmSR2o6o7jYn
IhBTUmUzSkPvCmp0K67UKtXJFdq9DtpuTUF6n4Nl+4p7V36HEEmn86inA9CiXaXF2s3RIdgG3O+i
qb8Tpa8+b2IlJ7Npbxdjqhs4EE0WVUUgUmjA/hc600PquW1/HgAKMOXtpo8YQTUfoZ5PTdZMU/Ek
y03+pVbRubhd6jXLHSVq3Dntlo5rDObGxlvLHQVkvCBIGkuM5fa5/lJ3Yk9p8nTP/VAhoBSz8zHB
9OlSuCrOtLLzK7/q/S9jHK43NXj/nAoAVy6aT8gCLElFqoubEJPrKm2dJvmiLJKaA44h5CtBPUrk
MWFzItCHOGZUe3QxOUN5D08HbsdSqicXV7AzokLnXIs5/IKi+2mhTn7aZbfHZykgJdeyK/7emJBz
ichZH0kDt8dJJUGO47SkY9sUU2rjN3MZJo04S/JQJy2iMXlK+il59VbhfapVPrzO+7z/rVnghzka
3FsfYsHZ5qQ4yFVOj+SXVhos/XxjqbF52e2hP3utk8PMAk6+Kzfb5yxbiUh2XcXgQUETXkQ0ZjIx
9vW5CbR6gtvlcf+ze+XYvXeqQ2/8DC4n75O+VBfO1iaPXaf262Ks5XHFd8eUwV111/v2dKW0v9z3
Y64+KYwtvnrNTHBw5Tbf+VvH5gHT+uB4k75eVbRcVsvqDeA2cX/OjR8R5TEMS2CP5HLHRfImz0v1
cXfj8ikGOvks93j6xIFf4DKootvdsSY4TGF1apM8uKHD7Xj4uCTtIUaF47HeVX/aC2u4b4Dg77F3
ETKDGWKfFJzxz2LSfkFxve83KvH1NUSlBnSgGz4V3p50xOxuPaI3iy8cen7ZLHb/QzwXHsi8sr5Z
uQsH7WYL/L1Ksq1byXUPkQbSjm+awJuj6WgPqkHl0yYiv1ksUdyDsrR3eIb0z+2kvvA3BUBv5TyP
HRlMraP6bk1q6JeBcKqrZBDui7ZyvWRYXdi3UH30U+XOszyXboujcIKz3bWfDyo+JXbXJ1ddGYsD
fVwfdT397kOc7B1k/H1K5rTzcpwXLfr91xvSMeY6tJdJ3UhUiO3JWZWzXPZQ3j94q299jPqkEhmO
uBi/lYlQD3VRzd2Rlu9WXndVM1QHC4koJMQ8d6xzNI/j/rDFvdLl2aQe9iGR69AODbM2LBhJNdTk
CmfTiMwlCzqdz7egJfWYedpBqBTtw5ZhchXeQNfLncOCs1BzPVGIT8+Yqu4xroKWQryJGtcuemhF
xoApugrc1e7rT7u35e6cbqvEGfrKJdjZl7FPR+AsMblUh3IeA/2YWJg0wcAp2gSdipUXKL0sP1kf
KzRmYeqWfvtx2BxrPy8UmsbMTrr2DYqQtc9cBY5/G7WEU+xKJUYEIFtXNYbQWYgv09VkYa5Zf8DH
K0x2j+nv7bU7gNN0jWFpCTfoPkyTX8cTnql12LoA7OPAfoj3USI92Nzu6Du6LW9wdq/DtOuBeY0y
TGID1G00fiKNp1aPhGo4FjQKb5sKmPRQr9V64RW+Ex+wmigjILFaOZdNoQTtSB1EW+oudL/DyZ3u
rCBZo6yrc39MI7/xgOLA7J7xb1Pf5oTUxFNic8/DkKNzLjC/0G5GCldaQ0ZvHioaKuUyfNgsf4hI
zHS8VViq0djgDYNtVWv1lSAk4/BYilakQSGdNTk2HaYj5VG46xAEt441h/oJ870uv6hl7H8p5vll
38viqSjFS5FgXIsn0tI9LnA78EPMUQNxeNgEiRB5bRzt1+3mtnfKq/QJ26ckE1LsIo2gaQrkokH3
qPo2PCgVogSJMbRJ1Tx1X6ci3094pNO5Ktb8lg5jjDX1Oi7ysHPY+PfJWHqPEQQihYcwWA/rgQWT
wodbvjmDaD4K2Y/xcUSufDMO/fCo5TgVR80XHxh5ENaxqdWtySVubPLg9rI9NTIPHvvGdo7JVA74
owbWrdus/rUraFoOxUjzOqEsOrhuPn/pdaTP++q6bWpHHMIHO5nleBROONzBH1ygLqolT5NxsdcM
59I6w+VvFmmCUBUOKYRIfTninbYeN0Duxz1X1bcch0J5rumvHRSbcsHdulF3nPIc/lXYtHxFA/kF
t5A/cOpUJ9z/w0z3onyuq8J5AXlbT5B2kvNgJ90pElF9b9W2yuYuLP+y++6prWGCFRRup8jN68/D
4k5DGnjD8Nmzc3WlXS9f0VCvdZxVgKNXuXAZdGGDcFfrnFHseh9qypKreXGqr03pRS9NXuBM7XjL
DXaAWFAKOVx6QMbPgO9uY2Laiki3tuVtiJ0reSvB0SxC/6vfmGJ46ztzaq/u+DrMsVUd27CiEQqY
PISXPV8/MGSjqlbcDtt9ACyMltrhGyuII8Zbqg5uWzG6r2VZTvhhtdxDWuNvH2cNn4sFeMiaKDcR
XOJ14EYY7OIMqMi1muKqE8P0L0HVVmaNwCXihYN3UQji42W+sKYmRJNeWxdYyLtPhjdwcva5QVC6
WeJDEKz1q55jwfFA5XkadA4basgD74bWnboWG86iqSpIaW7WUYvXxsWcJxuBGee0mtv16zRt7BU2
JXWaFqCY3zDQ4Zd05OYjltPeFSB1AWUKG1WS+SiY/0ajPOenLiqna3+jfkst0pHp0ObSCo6W7OD8
ojwLnqexbT9HYl6zZvTGQ2tb0r7TS+Q8GleRBFYQOVwaTkvZnheSqiuiX78cV1mWNalcQuqp9tEa
7rxycXDTyw0Tb+vsQByVwDE6hZHCIsr8sitrv8HtbQ5ppXRNVjckafi+UcbOWb7JyiWn9vp8/6sf
dd98QDK4jAeqirwhpCXhsItMObpot7NlI9j3P4Tay+O0cWTlfWmhjVp9NlvxWucnGmbNat825RAO
SUa1vfoCF4CyG3UWceAG26Gkf2XsEWFz+9uhn7e8azBAyF3PxgmNAkzcY5cAMzFdoXkn+qS0kNVf
RdH4Q3HADVHRRkGN4/UqnVc5IOUryNX6S11qq/tnlOM6B0fM0KquPwaSXttjbrv0Xs4CotTUH9Tm
W3Z9X2vR8Bx8C7qUrmEy0wOYobkz/L87K4ls5nGs++2QiHLF0oIuU/n4BtZawjQcpjYx0Kjr5Ku4
TpA1UgnDFzB9EPbhju7Zz+01PMOr3tlv0hmT6rMWS2ksCDAr2i0q27xeQo4IwvH0rEsAhfhmIqFc
7+w6sTc/08WoZYOBEJLWmW5FUA/1q4cxxNwdgnbSW3/taYa3p6jHXHfMIL14Xf7oTYGosEyFqFp5
V7bWchvgIVUTOQ61QyFPQsQ18diahkODt+ytC5mL1F0kREy+RIYkKvbP1RR12yZAYWeQ1CqDUqXb
xT8W/epX7VEsMG4SsIN+iG92Ur/4mFttiNkqfniJwBLfl4l/jLbd88/0/bpnvmGlfbJg10ypOyA+
S1EJrvsRtkn3ze4bsizY76VqjkM4JuVhVvBU1nR3Jc3HPdT42sOyv0qqYr4PYMdegANXN4Ode1nj
hvq2dratOwqvw5h3TmgEoxh7rJN1iS4lKVyUer3Y/HTtl6Y/q8mGxbjGAgUqFOrmm9ht1LC5Mt/P
E3KO6sPk7dvDWFnLSoJgtUcyUCrEvBZBcMaxcur49od4fbX2fN1E6hSLdB7ipmqCA9/X1H9VNg3s
dKxnSoN+x2U+tVXtlEfSCTVe6DJo5m+FtRrEhYza7bO9wfEfndacW6dOOzHkHFcmfZbb/jAc/c0e
LxxUvp+RLPsO3waRu8WQAShWARVqtI13XRza+uDagZ7+gvqAC0qqBC7LGZwOiaWIdlx4RYBbdwWV
d5f6kjz8dqXhtqaL10THqAnbK6sYB6jsGqm9wFRZdFA33E3jOtUHCS0payrP6BZ4MBE+H6m3xvJC
ilbWmQYwe90hLLA28uSjtuyBce7iFDpivd942Ac/yePkiB3H8rcFeQnwsBbFjUUYHl8oLpfyY1R3
ymRdnltdkMGEVwpDs+qVEIne30Mn/TAsXn4LTbL4ViiHmY+XfYWuluMG2+yYWqeispcn7Iv1/aLa
kiEgY6M7HHUD0TTqECs0QfLgAB9Gh6QelksH0KI6LHBj/rV4PjrCoBn9i96v60wuKniUeTGcJre3
/wrV6KRJBA+xVO0OQ3/ctxTJ0XbnIAarDq4eZ0RdbQ9BPqnmZL4sQgU7bex36KBFzhcZxEvSGmoE
1XCGw+6GLUyAwV9qewgLcYD08OMj88lBYSYRYSLtFaMkKei38dbTQt8UrjPHBzsoBN9OAMHj07JG
E6zjqWeUsAGiF1+VcZF2JOAfpGUy3hFHJ7zyrW2r0rDJE+gojazKAwd6DfMKuOR+70AA0j0UIjw2
MwS7g2d31XHHUAGEIoBOB22kE4fZE/8sY9kf3Xxcs2UKts8R0WK+XqdeiUMr5/hhDNSkuVwQSAqC
ChSoc4dbr83d65ivhIqgCSE2TpWTJ9c4KLkYL1TN1WoJ1O3dWGdwwNwvqGJ0T58B09OsCsZaZREW
DttBL1uNjb6Kp/yoyypuib/Ka69rx90CxPBL8GzxTR/rHchVg0OpP3Rb2orO+VwlMB7SDiLGHb7F
o22c0zaKgsRF1SBzO+iOnVOXn7BsUEvGuUlWR35+KD0lYzNv4YfFW4ChPXfI7+K28/6SsCyKFMOQ
z97YDX+paRjSsurBHnHAhihVzCz5Vn0u8Eb6H/bOo7lu7dy2/+X1cQphITVeB2EnbmaKFNVBkZSE
DCykhfDr39jU8Qm273Pdvjsul2VS1CbC+r455pwpZ6uFGFVOHtf9hL1nYO/yrUkn7dgX3NRRn5fu
7TiN7Wm0O7wevUteQM92REt075mNce5yGaTOuzQ3K16EPjyofjWP1I6MZlgQa3s5rek16EzDiscd
Bu8wWFSIRASoc3Cqc3/Zk0OkqgfcsnnUs9yKei51EXaWPcUcX4yrZm0z2MDZ+Jol6/KVnhUjkMOk
Y520y7j2quQnWLEeCVuMXzyO+3tyo4z3FgL9q86X2IG28MGB/H/Fc+NdL4j8e6lG7jpvegNQHu/k
pK8JgVutbnAfbHd+qpWcaAxR73kfELg1eYMVEbt2xRZNO8+d2b8ULDsib2FQ6Whv24IlM9pnIuvF
Y5FZog4FW/2jlI2BFAZpWVrWxzqx/e/jUrIP6t95QZW1itDAk9X9ykTb1vKhF0Mr7NuxyDqe8gPx
obBJfYczBEhgWYu6Q2tAcGxvxQpKQ0+KiVfDjKyWAJfsqBO1WWxHQO51/JLky2x/2A1ByIei9epR
hIno9VGLPGULQhi4saFZ0LTgIwrfyB09ArwzNo6Nnr4SsF06vb4cp3Vhixk45mLvhGhm75vTNCMP
lU6W1VLxHLvEXEWc8+AUiEty0hSgRcBYgSNzjIeqWvFCc9OAsQsbFDST7Q+901Z3iBA0AfXiQc5r
SVTNRh8atJBMkwtEzjV4KUZLi3TTu3tleSMjTG4tTt8/X+JaFbUhm+0x92EZypfipiBjhWQlmhyI
yYt1aU1D9z6VmzLWgO8i8zWcW8GRLNhkxpOByhmmYj9kY335lwgn1f1qn6WLcruXSUs306b6xyv5
M1h411mutHFgYL4qVlLEnJCeKjr4dv9Bnvu7QQTxDwM1gRWcMVGlKTv7Jxm30Zk5ikX6H3qBi+R3
1dt0CH2D67LqFNpz9lRTh3otetMNXHqzIFUI++ctPFrN4n4pPoWu///P9Xd1mR/rEueKXdVHf3Xx
vf2TGJrbK9akNHe/l628CC31L/CjLv2KC1Frkcv+g1D5d03+8jc6JKuQWybQfS9+0L9roiwNvVHH
L/Gj/vU3kpN0ATAsu+mR5gc3ExMQnNIXDctHXiBW/vpV/DfN4ek/tGbyawaA+MP2ckmW+Ftt5tUP
XnYf5frXKAfj1xf9HubgGYQ5kAJwAYdsmJJ/RDlonv8b3IcQxCz7ZJMSDv9Hcabl/0ZOFFEfus6V
domq+yPOwXJ+I7zJt1iKI/wjCDr/mzgH41/UdlM3yGjlHHOJCviXVCoGuoywyCQ9KeIcspDUWPee
bPVth4923Ocs509Kfy84ah9lJ8Qc8AD1H1SrxgOmabW3OqPb62NOQPlfPsZ/5x4y/w4i2dz3/ONs
slkgcQib/OekiWWwV7s0PefoKlu2t75f6rce0wY/g5bYVKdM7WNuCA2zOk6SMbX8QJOKZJTFn5Lv
XtMY9wN6asehdyWq52WT1FQAIM4kS2aD8Vqz+HCo6GTbvduUo3lRRZWUfktBgzdoESl7mne4QKoR
pUrNmEUUnlA4EkEml/2XbFXpoQWcLebQt6vuwUuGivxveLSaXEp21F4/sfU01yJeejJtPLyvU4yo
aN1tBotBlt68MvoOjpcGkyoNJjb17zXLggdE2bYIlEAUCvMM3z2FQPZi7FRiZtVptNqq3NFSxIav
YGq8b7ohKud03jV98rwkqbbHAdufurQw9tNkDR+41nuAcXuJiHe/MtL2BAg/PLkNXWqGv6x7F8nr
CgVCcdRTWpS7W4ex1S+cm45ciHOTZjsWRuRoUDnUPrC3edUtjnoElLdttJVV9pXOK8lJeWJdq6Wt
dr9Npb+wXFgHgG21nFN3e9TZVtz2TBvBsvkNo8TsGOmO5gzx3g91ETDSDwBDyAwMw3ruPGCUkw94
6q2wTrz6zmZ8z+hc7Q3I+6YarC9F2nN6MbT8dts6BrHE3HV+NT+tur4El+D04+JIe49Ft9lJl96x
0OidKQQZdLA/uMZhsRIZuxzC8BnoSDy6bI9iG+fQoJrhnk+9u/Kc8iInV/opBWo4+bgNTlAMVRol
jV59laMxPBEpUfzsZiz8YTlp8pGX9XZjNeZythS5StStOjtBpmUMl52D2qoxrAhTiM28HZ2Az13s
Ns45KHqlzN5KLntOsv1C/yJdVQSGzA+6q+YbUkfUlT0PU1yJ3N+LLqviUdsaFt85QBx06UM21v1u
0jcTAB7TQ0Q6mJvsZiYX0tc6QZMJ3yTUlgqA2fOn2PZn481MSUmri3X9YbI3uyaRUnCiW/qDoAVi
DikycF4Hc90gWbFLHGHpiz5i2Fsz9vZus+4VMRFF4NKh4aGA1S7LdL+rWiYnf40uXP2lXCXRnuxl
IHpKUBd0pJ3EIKQMETle+ByPyt16QhANdIGUvdEVYZd8emJKUEFVERcka+5Yh7Mzb4im+KCMaqaN
sJr7p43WoTOvXkZguXWE/dqsvKzWTwjayi93F8SFCNJKJGqv8P1VkTn6M8KPntt7t2RXWo79F7zj
27urtgWH4CCOvlO09Pmtfh1Jg30eT8L5VWUkUQTSc1YdS+XWGFGZ96UfpnMzk1tDusu3Bi19iuyO
RXDQgqapG6uW4rgYG4xuzSGpCGhBzOozMSQjUvaKDNqmDlL6wEOkDovEq25tGFPWaHlq3hLoOd87
vTKYAJtMLYwRQ3UruDE48RKpidkbm++O4VdiNOg3ihp4HBBd4FcEfSZV/ZyMTfeQT9bYxktlWtcJ
ZNKZWuR2iBi+9duc3oIn9FWtiowpF5He8ucO16gfM8RnJ7XZ/fXMHuru4o37wrjWPHn2aITpOtVR
Lecy5vHMw9ceyvKjSEetwcJDESM4Q+/cDaTwal+lhdMiRDHxH0xr9vIYLZUAt1SCDO+EXvs/KM/r
TowS82vKJBqq1VAPxqi6A1JmtGmkxATp1GYHdp0KnrjLxFXmq2Lnzqp/ZA9PfVTCvureAIx9aVWd
P7gc143DALRyJwReN8IqxhLvs5sN39qVnX4gSN5kY7QWVZw4U/mWdX5nwG4v6nr06A8NUmO+rHAs
r2SDsY7ZrbaMWhnZauCvq9JR/eT57j/4WjbvOoyj3xyKSKsw9fXtTD0LivJqFcceB0fczXYX82xY
jrickq+qVAb/wUXHc56bnLEI8QwNmx3sltEdpNcsngq7c8/EUvppwDoiu0R3G92JxVmeHJlQpqsR
bPjz13bQPORKnZjZYLL4RyrDjYfM+SgsfY5mTxCc3C3Wc26MgFPSde9AlQ3+1voDfMnnQrRL65Y5
/1wkPPo3uzqnbH8/lqE9+u5UB47Nhi01amYmvZGxlKK4We3W3YtWk3wBcs5tw40u2Lp78409oX6Y
qGoR7IgZTAzDQU6M7De86N19b1rLlbA7UYUYEptX3NTqQ1nVcFViCor6ul32l3PJe6WV7QdXqY1f
a3UZskXhKi8GpslQphSpfrxO+yvL69jhEHFEa5lBuJyISUAke2que1IO1167MESUbz87BN43ced0
5bug27aMV7+xliAVqZlExcACgJjdESrEy9yZSj+cKntZ5vR9T0rvX/MBGyBxXPy6sjdNFOpW00X5
sOq4ymgS2hcF7Htsid7dwgaR7XrIZ4cYUg5et0nZiCNHrPYbK99xN7IVj1psf4yzRN+03CxF881i
u8D3zNV3E2IkJncEJMmlKOKaBCbjPPA44y4aWI2km0IG5txFOE3FwoULhIjzN2zBrwPGD5gVeM5w
pq3yxDZPY8U6e5oIrHVJsnCqaKyLtbarH2ZaB27aoljvBdF8j0uldItQPoqdQc9MbTcNw0Pqz7ys
afK+JkUhixA3TfOcm4TW0T42oHKz/QHbsWuRxmzQVMTU7X7A3nXvjO1SIYlo/skVw3w5YNpmH9dF
S5eJsY0i6NkzHD2Kg+ktQ/g8j7W+CRaF1WQGi7a57DWLQp2ZxgFsqBFFDexxOth4oIr+hWqqVWMg
FrXYT7z077lrsdzoXAMJzWqVc1JFz5tAUKjSHZApcXksc5IlvFoF5y+MZt7jshgiajtXG7i+VufK
61kw4Y+3qFpriR+77rO1XKh2dOubovGW5970uwd0O/dbl3jFvnVSwmbZL2sfwsCq4+F2b/bd0C+X
WJBat4LMoFcAAS6b9jlbrjs6+rL65Mncv00nV/6kNU7kYaWn+pH9P0Bc0yotGCzcctEydZk1Xjne
arbOr0P2f8e6/zDWWQRoMIj9z2Pd04/lbfjrTPf7V/w+0/nWb1gxCPmh553hnG3NH1Mdcf+/sQIn
fMgjp4+AC7YDvyf0fY5uxFvBNgsBwugz5kMIj9n//T+m/Rvh7sw8QteJ5fJJ/PtHROHvs9KvqMX0
R/tvZicils2/A9vk8djC9AgBYHJim/Q5XP2FSGe5pamubXWsQOzolCa4gyt6RS57OmCiLs40jhRL
3ZYP7uxdD4NUXx1VdI+yxf2j98NpIoAT06C7XX9u8FasZgkHvSK7ww6nvU3u5Y51Wr07UD/p0tZk
m+lwRyHNat0LQe0rY1CDgesIhuaZN76A0PqCSG8i62nl1lo8WUcprz3Z65c+RYVYsATUio61IN2o
LDgTbynn3kDO1FV+IWNhJLEX0LUyTpm/OLBzZuKPsZvpYthllTDlaRRpDnFSYETWL9D4ulLCxCbQ
OLntaj6LlY090Zit0eIkFDTT7YmRWu3jRIWrTinVmrvFU0L51qQCYBcFSdza7VvRJATGOUXqRps5
UL4Ugwvpygm9wcW1y2q0kAjklRj2uGXYpYO7DuHk+NlVQjysYhvP4Xin6I5WGFeKlaTOtjjUpBy/
LiRG1ugS1ngoEJ3iWffs15XFZEC3aHbIh/wxrVDqA1LWcQs37aEw52fQVmtfjDPHSRKpDox/n1Hy
afYCmzKn8aryo+st17hzrrJ5ml6GtG548F/2+EuWBo3yORClzse4JDMmyfkVs9sQImsRjGShKJTP
i6IYbfWN4gTe9k4OJsXPSTk9bt40BOhm9X7iI9Usiiltl6hR1lDuzjObPbz9g9ryZ9ifn22Vj1cb
3UUXG+fNlnVQOdP42tbDiUd1cyiJ5Yrc3OL9DAw5rNK5kpKkFnyGd1BpbVCa5bOEuIkg0VoIG/XD
yRvnuna25G72WycY2HoF/jSRg2IlEa7Zci+UMJgx1a2JQRWDOFvvFII4FLPKzqhR/bU3zmbsYvjC
dEvQQUPfasCak3lmoDIzn0y1rxXilpd1C7zqusays7WH9CJTNkX6I7GS9tbWxkd7zBfs9Wu112Wd
X7LX8kNTOg7mKN0JrHZlVdnY0270bHHkuZDtet4eO6zZIrQzzWcimX+0dllTWYrmm/DsCMoUb3yI
deC9tUQb0s9GjXSKEsKhcIja9lJb14w0RHIsDmxdkWauEY7umcuTYTdYOSs6A6rkuG0NJudBkls3
ai/2mrAxhK4/ZZ2NSVKSuo0vsf82bW5YGGNQlKw3gkF12EZx96BwwGxcOc7IHT8hikWW2LSfDKzw
hsrDtkX+sqenUV+obb1ggdrBLPXpgZP77D5WopR3DlRYg4CDcVXSxcxUlqNFu4k7hAZM3BMk9hiO
urGl+xyy99RMaV+Hq4WXP+LCKrcgmccPMnitUE+UuuP0aIRKcVmkvqqMgCF1/Q50qutx6or1NI15
cyAVfJ0ppeTSIneUyAcgIn5aYr0GEpaNrqNwJwXQ3znLNGU/0ax87rXZ77aAGBg537AuG14HlAFl
UlycbTuaRXQKcvyaTAuP1stOM/c6JGzQlTPusAKaAFvgW4EFADos1WKgSNRBuQEiy86KE3+r9kzW
eWB621dOG/6zm6ODVYX2xi31YgISBA01dewHRgC7TtzAF5cRJ7DiqtGgmwYPVsuU+XONIEWRrrTz
a7NflRHU00YJkVEbd12dfOkAh8h3YX14lqJqT4Y/7tBY1VlNuXxARtIeSzG4b2Zt51Fa+h0uAb+H
s0gzbmPsCGactA1hkNWqQx2tlDckI9onKsdNNYBI8n2aXavp676/3LUloVj39aasXdLZCyRNle3d
St1VmcjjfB0Os6FnJkkKpFhSauQFlJw392wOXpuptQ/kvPkfvTncQ+tnMyVKFuyAN351EHgCdopa
TED8UVQwf+VkWOR8GXL8mbQCtl8btat1srOdpyYjavCyxrJd8mBNvZTkEoPngbfe5PgZbzdNV9cr
lRxBs05ulDcLZ0tQckREc4pHYab7zEdqx3TihX6BgQUlcr9qac8zeLymLcgNAS9XgnNIjtCJADqO
tGkFDhL0ZUZ8oEHMBP5vASQEjDD/Nv/QLcuekBD/CEaSEDG+6JB7fv2xYvWIdc0iUdAgaloOZRcV
dUtgD5n9w5OfF37EwLlGjEeE8o/d0deY/3pN/lw69wtSYxtv/jzt9EHmIYWwG0quAF5tlmw3TfVy
0sruuyq362pMJvKxWBNuDJ8hwSrNLfHF+plAgTZu9JWA+HzUjxslaQeNCgCELMZ25KuccihGXs3j
3zyVBV26dcnzrnPgF9lGNiQ+wfKM30zM61fk8CbkhDG5JhZrELkWxplrYNgPucjCuSx/Tk7l7xa5
fUsRykABfJ5lxWon10lrJGagCh798IHvHI3nEHdLf5eUZhJmbD1uZmKYeLkz5jh6+kpRyU/pdz/E
mFc7GuIXYCPxUgPjhnU5dM+Vx7faesGWZlrGnyDayK8UaCGKMu+7TCB3OHaLe99s5VH3zO1MIAIf
g1t+m+pEj3iYAu9TV/zirS0vjNF6zHMHkCqlD6FYPJ7rTl69mw2ybm3STUP+HZEryoU6J8l4NxRb
fSYWbI4JAxGhstb3Aek1UBiVg9nnZ5hhoGLd77znQTe3u9IaKJZuNlwXQeZO8LdzKfnx1VgWr9z2
5XhNjLH31Lk2X2tB0veXjPZqmUOt8tP7ieT8OxuP7KtbOI+240AIVunNxVV/sCYvtcIlKyTeloQP
Ossz8YVJnxnSZsGEVSkWW4IVh1w59PdJzRSgdYjyuaPIaEpb8zsFJY0drfyeA1Ma7a1iaDvo2+Ie
3MX2vs3loL9O+vKBR3W83XRLK2LGcnWgfsa6tWtHxcYGVcyTVY4KC/ca+myWLkZv3K1Srx86ZLaH
GYRGB3dTGkcMU7I+FEP1c+gtDypoKFJ+p9gUWmCa3tlLadjcMlQOY5Uf/I0ia5PX/Jpaj+iaEG2j
fsY8WXwdHF9/p1X1VM0ZW/yizejsTK3vlTNAqzq5+WGkhVaHG1GHbKvyCY1jboED85IO22ix1+VD
r7wqku00PILtdEd4Yvda0Yi59xvnbmNPmbDHcyM8g+1yAKguuJwd5X5PUrcOM3Nwb/3Rzl9spO5r
1ms2yw3aR+ycZC5JfgtoAYR63LLTf+hZHFA7zUdxs6B7gH8nrR24o5zSaOs9qCbF6H/b0Eq0J3qF
iDJ3HncG1uIYc/awH3tH2xcsP2s8FVX+wtOsfOEVN32t5kV/LIsxOeiFmx91e+bEm3TOqWuUVpBz
CVSI5XiunlMzL9YrspPqwN+y/uRrJjdEprPkYyT3T2bXqzDDAUBpiGhk5KiUICF96O/HbRlfdG8j
9UoCgXpD61+xVxhvqeDrvxBATc+IO7QFCRgdUWK1ncEHZSTg+VSjoXbAscxPqcETFiuRwH+1+dJy
6GqTq4rzgvvhCus6/n8PvfkLqbib8zUttXyLlLfwZsXU63Mj9ssYrL2zpLEoBctQq8xelTs7GoeV
6bHamtWIYGS066pZ8tektptdj7ZAasG2VEdwQz0qvCKFgBOl5gVDPdcverIk94r/62Gpebz2tf84
15yNh6ab3pu6IaU8c4udM27pFcydw2FedRS/16p+MrKZyj/dNfezV5dnZPlut9aISW3a0fOpbRWL
q17au9lo5vtKQGVH9pZgWVR5GavCmM51s02BAPE8THBdd6aEk3hgkdy3t/iMF5Yw8D+dU4b4oE0O
C7XM/JVF/DSZphy+c9zMvQnExe1m8diOqVPiu5jW1nOh3Qo/q/2AogsFbY4fInQGjF/VJvESWEPG
c5TKNuosBsc6jJljv1x26lO00cXrHkhWl8Y7zWVJpGtFkp5zRfpBwCXcF7HppXOE11CxetTcmacP
VsGzGjV5mAbfeMDDwyxgdNqeIlOYwnHVTjBd8oi1vYim0crPko4OrLOT+7PuW/Hxi0Ts834s9kst
n4aS7LJX0vCmsBb+fD1yPwbesG02GyzP+9F6Mj04U80R3BjZqXbkPD9vEAExi/1NxETqlLvBHLY3
nYP11QzrHKDE3bSu1Pct3/b0SThKmcuv2SJYlhGkc9ok6e1mLWRkZ4YFXki0cZxigyUDCOBRJ4hy
v7DdDfu+aG8ERpPI4mf8MnCKjMdl8UOEgyJOeddxOO/WeDH7MZ4q96jJRkX4+9TDmOb+rseB+maL
RRzqspdBUvJkqlri+9y8zfZ5aoG6t7Z3tvLauRBM2Uwklqb2lSmwtmQ+5GZ/e9kzB59IpTTN9dAZ
VcdRCg8YYdveEhi+mGOuG8BTf7Hjbi2Zb7goSdEpcipfYRRZ6fEaJyKo/DZwpg9a360PWp5YxKXw
Jmlmp/HwZo5DqOnaivvRsnbEMNbkJrva7SeqCV17oIeuul7KqQlp2qI95RPcrGg7/QHXJq6ThKA3
kpLwO7Ua9+7Ag39C/qT4h8bNvsKRU46Kl8683mej7t+ohfVt0eTOgWoYOzYr8HwdOfKU68adx/Y+
YDO5kOMt07fBbQoCcS7otjQ676bUOkKsar2MjSoRUO++9ZpiLGVJSsRIWOdZ/Qry9tphiQooi9sL
1Fd8GVJ9J+ZpOHi5vh2xCVd8fhOCnrKB6hbW3+FaWmwfqHmLqOZ+Q3XPLnnpOCya5av0GCJSL1q3
7ntTVF8/AdTKnPQ2nih0a4PFsmKsLSapOX5yKvLBfoNLo+Y51WnBJi1MD7VmQazocfBOqVi6c+sU
DVfL4O4NvXRDsxf5uQLKvmP/gK8PfpT0JiV1dTOMnLcLXeGeu6x/Fm+QR7/rqnib1XZI8Yj8mBtG
tGIs1KEWIxk5WmfeF6PLRkD2H2O2jCe3zok18GhvYK8VgSbLoycdXD2mVp5MeID7T1Q2zbt35jWO
YmsDFyi2oj42kyT2M1XD+qLGBIuvmq8tmOhnjlJPuUbUnduP7lXmWHPYLRsHxzY7JvPWDYjOWg+S
Pn3zje56Nlb2qYX5TMwQ1LwSYicdzI8zsM4L1U91YF3ynoCYVWhOif1ETogd2FtpAtBlVLU0r8Cb
w2EdssfeMX6C+HD+QzkOmlQ2xLuYrygjxCerRnxHk+sjPe2tSGr180I0708pAcd3KSkc9MDImcM3
mC68llM/eOsIStgiu2N/8JJviqx22HWlehYU6/yAa3xr2dYnCWsnEh13OI7XnMN/bTDjLPa+nCz/
oeGBNQbSstn2FvSX4+fuyfDjTqhjRy/7E+x1MMOHoQUSYsmvSrrXZWHLW+UIDtZGqbWBuZW5EeAs
rppYEaM0xJOeyRsT8frIf+GPysb7Sd7gA623PDy8PDv5Ui9Pq83LldX2R1LKqduX8H/x4kwESYH/
wrYvJ2KOMJPpBlvwogkrBKVgMi+7QNmk4epPYFiGoy73BKe83LD3ps1J+BfXjM1OzTB408FV3bfU
204LF3xY4a/HyKVdw35y1qlQyorOPUmU0t2f+DN09xJ0vj6EDUf9kJMpHcKiO/epusdL+F2vc654
OMfYX5r7TkgChOrVxeuHnP4nHO1utXY7m+IFdmS4Gqmgi+beIZ+rspp9pss0zlt0w6VgOOvtaTg2
Y6qzucDuo5f29z8B6iKZ8zBr129lCm5mEl9JimSfB8VovSe2Mh5nzy4jZ1nnPvzkqu3BVY88+8zA
cWygWb2bTn3HMopgsxDhQFzDzmrsWUgui3udXDDfaa7FWA1hAqoPQE7W5hS7yHB4HXXqejvej4a/
tbsyX+XbYOBGssnvr6NS27aP0sySJTTWUntrnbq/dfVKOxS88PqAsJ3l4BGgc3ZLRiTX9wqEnTw9
9RoijoW74J1zFrdWKuu3vDC820+2exuz6UPLnZ+/+G4/04ZTxxr6flvw1do5OVrhn4y3Cea83fSL
16Lc/Ml4+6OForv5zu4X6O2U4OfSzJs+zDdcDbmkzkvoiXZDUKCtfiHfeaKe1tT+wgnhd+o77dbx
wH2wxp/o9+x7zzOsBlHfjfmY4vQOUeBuPWNI3url0lgAQ4Ir88KCVwzp2tVscqg5fwLh3ahQT4U/
LrtPKrwvcmc6iYbnD2YfXRb7fwHESzKag4bhhuPd3EoiUZy2f+6l6K7wBXoqyFrXJyOJHLD9KosE
53VhvDrtQoDFnNs6qcjkTOG8nraXqRypRPu3SLnL1dOFupzHPaFe+XmT1D1HvLDIS+2nlBPTOqMw
mmM98pq/nIR4yrz+hTUvp2I8SBz5wV+B81SrVEgq9/JoT3Jk+aSX0gkYwwjJNzX/uTKH9DuF3EUa
NWmSLrR1ruvDii5GdDM32u/0OdwQdZVASeE/IehIBATtcKzfKKI5ydIZsbdN8z7Nk+4eH6H5UpBy
t0S24IG99bZxNxCniif9T0idZ1l7V2HPePkFqpOoMxHZ6HvX/aqNL6XU9BudTra9SRCJz/A6WPeI
lC5q/L9B2MfBU4+mabEMXcyJu7RteKwGte01JmfGLIv+lWS3ej8tbtjwY0/6F5K9lzWmzbFPi2gp
h7stHQR9odhfY4s11BMKZHoqIMXCpsrWn5+UOygvB7XNoYngE3XPfBwz4Lg5iK1j04Oo8dZNsfPz
sqcmm2GH5Aes51ikZk8H6Kmv+mRxj2rWx1gOTnmWJCsMnOwN/dxu7fyFWNVxCZyFQJhMm0VIHtun
vUi7l2Unb+x19g51ZoAZqw2AZNBFaMkSR4LWz+P1JzfP9hbfH2l9Tzrnu3PfdvNuIsblwDrTZUuj
ZQ9rVmBovBD0C1pGmMqhvsZh8qEpw4h5OCUHJ7MJhb3g9L7i1rAKM4vzzjpSrODdNYuzHOfVVidH
cxFrnaSKxMjUMXFiDNk396ch86frT8qeJoJ3JFcjVsmqU2e+vtHbk4WmIFER7ZW1opHU7Mr69VnL
LRJleow8nxS+hrNinxFpH6o/Ufy2bCARfOrVM5J2ogt1SzBAy1lW39D3K7GGjArbYe0XZ+NFNkx3
ntuyBzb8qor+QuivGS+bgmwiqtbxNp41t4tmG/nmT1TfKGnh9tvtxi43/nc9uR+sZb2dyQINTFU+
+4P51Up5WFOoEufC2iI2JW9+0zsB3D2ulzlLo0+iv3G1dmcapTjMkPgiLR42ioIBEW3Ce4C9gjTd
bi0sZUFVdC9y6Io7J51IDiCSt+vGvdqE+vYH/G/phk7xGyfkvzsAar/o7uepu6f0pyKUpvV4tRuX
QTCrtFsPlAvDk5kd6bI0z0Jp34XmTtf4o7CY8/zHXndxCFC+9HWc7Yn02eWsJLxLX3Uvn1rsf2Xr
/yBb0yNwKf/7n2XrY1VhYcn/plz//kX/oJFd8OELtG7QUIBN9AKv/6qW03wDUdumZNyDLzZt1wPH
/125FiZ/xLbMAzmGQdfFn8o1ovZFAyc6y4cj9nXH/N8o17ga/i5cA7hTG+zbAP+4xyzI6L+j7rmT
U7hpDNlp6Qw3h/hgB0aJC7LgJ6CxXliNi1PukSdax1uTWJkE8dgDbk2ZcbpDzwMoCb0L+7F9YiDV
JxIyXuiQ6RMUMT6hkfLCj3SfKIn6xEpWFktoouagztVcewzbpCTBLn0CKcmFTQGI5aA7XIiV7RNe
aS4cy0bqWh8r8kvBW+Y2OQ2UqSu8Z1r37l9IGO/CxIw8MGPsG4AyRAYwLa+ebdqRkc7CPPsmG6GB
UvnrmXTGoFbTw3Chb9xPEGf9hHKIussf5YXUWS7MDnnblPOiGDcxtXhaFhbeJeuksXWWV04hHypb
qj3fnmrwrV0P6eywvpN9fmVk3n7JTYaSrM3bnd3YDuHWGZt5RNHSYO+ZdDvwKPOl8jk55ySNPxrm
4sR+Jr6lasXC3a7k+G+WdTeZRX9ULaxVZph3mYNtyW4ckpvX3AkWbJ53lquRJNvMD7Y+k4dRVUzN
cnGzD4dF717QXx/2blNeGXWNSd9ZOpxTtLbRFJSn1wNxTDdz1pDaNE7bdNbnuDNbYtVkX/8slOPv
VCnW3WDnXpj27vBgOv6HnSRtZCRGEjpaRuzZwH9k9vbiC41ViIsMLisbGz7dUy7Gs8eiH6wHa/GX
K4s4sLt8wGIjS/KnTCt7Ywqboy1driodlzSZMbzkTXYGvfP/2DuT5riNbVv/lRt3DgV6IG/EHbzq
i02RLFKkqAmCEiUkeiCRaH/9+0DL78n0OVJ4fgZW2GGR1QDIzL33Wt+q0R1VY3Gfq6ygIsnbk02z
ca35RtaRyO4gd8GhoOOxTnhiP2bjHK3c1h5PE8DYTT169tYiCn5jjEPM3CGKH+YwIL03hw/WrdOy
EvzaNFVbkybbpSMb82Iyu9ecv49oCIBH0HO02CDoEucAP8hdiDqYs1SURqs6nueTu8yYoPQYRCqP
1X42uvIMtYhayO/0lZ257uWEVqKm78yE026vq9GZn3uFqXNraC0v3FRam9rN8mblOL27abJs2Hf0
+XYG0kMfJDVhOP5137dNwLGGAVBThek6TJkEo8+GBtJyD25G/HFIUcka8Wf9aAAKI8r1HCbs5xFU
l16Mq7YpP01Dl95KR90YOn+0JiU2NJ7OVmPm2zKsv7aIFo/oxh4nfHO06drPBXYfCh8KLzo20JxI
Q1mXy5WaXqGm0KhaSlNUf090k/ELTiI60Jk2rodQiG1EX2hDsM8zi2F7Y9fFuDNa/KB5FnvHCVfy
o+sbzElSrFlFpEz0eZRtqXERRNKjrrXpKkcIOoNC7Qnys49pe0HEGPI1yt5GQ/gqwQRFjOUZLnC8
cpHKjimQvaFOdhnaOFyMaYtpwMnv6tCLjz1Y29U0Z84RQCk6thHpYakze7Mc+Pck9/rXruovAP8O
R7zyUQY5ph3uBheHujUZbPSTx7DMkiUPGDEJg3lfpsYyQmwsKvVbmHJOcQWv9lQgrKwadNe+P4uH
1KHkcm3mfjJMolu0rskNpN0X0iHcI3LEBiua9eLX1PMr6Kj6c6v4yGYh6w18NvsyzstiZ9oet7RJ
A6wn6nJLWy+/nVh2V3JkvcsrBUEWnfjnucPC3kesz33HPZhM4/RZTNSdOCDN5h7V9H1p+mQXAU25
qZChi1Uv8q6+jb2IxGT6iO2+tt0AzaOHChgVbnWEFxAh1Qaiuqng0J11GnyvK3NYxzaWiUGGebfy
QpIZVgYn71UNwAQUoEsXG9IRsVHLtDfxDRAVTPpDCqkdHpGRR7ysh3zsHiUZY5Z7mPryjfYgO/YW
o/maGSmDO4nKFwa8HGz/JlMADPHHjOEh6ziaXo2u8u9GNux7R0U8ItnArXdUuvc+tZS2F3Iupnal
Z8f7orn7KeWB5Mu1ZUQBMlpQiucmN8C1RZapLirbDC+aCQe6FmlJm7TRR2AR8Q2A9vyemD2MynTO
g73MIm5cMQ/yuQ7ddttjKD9YCA5fQqZiQCxDhXs6nrRLLoai5kIIGfiMiJkr9nXI8+GgmME9PlM1
sLR/x/8PTwWNGR32vm2Jz7YbcxP404juFwU1s1wPRvnKRWLLrMRpXhplJs/syXG5GoruunXm4ibq
PfHdHIl64DgZOWdSj6jssnw+FWZwpGWUfysKx2fgKLxklUgQAkAH0LbEwk2OHh5KVME4czk/TJuJ
RgkTqohvcZWmMnzs+sm7Yq6Xv0JtSaOLgtkHIT+06u+ixvUf2UeQB4AD2XXTZAORCYI6WlsZBPyj
Ssbxa0YqustiFEePIiv72xH+G3flJI3bJPXbemU7hXpOpyg7OXkd4yyOtEvDVRTzEX1A9urqJjvX
Q3mfM5Elk24uo2NmZZCRMsnDCjCluZkbp4nW7YAwYWW3SVRsJ9L1rmu4Ls8w6IZvkPOaz6Hr9rvS
SAWwlVjEgmM6oxFlpf1t6bHerCD3oTQ1p/ZmUlTnK8cIwRYEU60OgQFmnXlQCUZyjjoyALUzbNIk
bRAvBEX61MAJQu1SOfqcuosx3xid5uTrOj/yzCXpHuF2jZqH5jKdRCm2TqDMZ2R2kbstE1jQG+pD
b99hQDnDkjD3mP8DiGtdCf8kdNM9y3MaoqHvi7WT2cEV7YnmwsJptfHR6WymHl4BSgSfEO16XgNZ
cLeNiTrBhzC19RDZuCurre+srtVYIjxxlRs9+vMgqvRmDNL62AYuZUaRl+o5U7SnV0nctdaaTL/q
UzbZdYmgQ0x4QYg1+7Yoma8jc6g3ju1/YRQpPgayLF5AElU7Ry7ebpZ4xm1Tn1XGehAZKyIQT/OY
kLx3LWY3+Nx7Kj/Usp7itR17uG0mZ3K+EN4u6R5aziPII4gAYeFQAzEeRRtX2eDdw5F/BZoPVC11
JBO7LGr6pVlivUAfsCEMeFCgcAXdeUIDk0hJ73vusIlE29gcOu4ls6X3i0vpVTR2Q7OBMc8iLk6j
T4nQ5ceJWKt255RyvOzaDhMOHUvJpJjeaBE42TFlDGDOXfKpKYNTPFEvyqJfAwraDnjR1iUU1TtX
C/g2AWzTmDSVZEMgqn3j55wNQ1Db+4bRCnQr1btfRDAjTXOrOn4s0eKD+SsGl8Ga4VjUzG1i7gkZ
jxkz2PN2sOfoaOOc388ujYC5dnI8SWZ3ZRly63eq+EYDv6Pd1/nBNz9NaMT0bSk3tInUx9gLoi++
W0W7vjIxRXA10VIyP++upT1mx5hjVotA1AOCldB+wUWSuelrbYq+XKnlj9qQOUuLM1xXUSOf8mjM
H+i4yT2GH/Imrai7UjX4OW5wP7zMmOeuY5MzYjHEID0Lg+xq1XRMeQR0h9KOs08tghe1khH6QUQU
yC0wQNj+tonm+TIzrPpi8F3rik+YgwFOkq/RnGhwqFofiroB8iNwojV57GzsbH6qp3Ho1pZtqZfY
aYJbEEHGN4skmeN/quRSJ3r6TZXMooCV9N8XyesXgrVBHiVAt3Hv8guPr//733/81I8qmXnsBwtx
CUWvbZNK7PELf1TJlu1+cE3qU0pXal7L/UuVbFrwoKmPSVu3raW2/qHvdiigHX4hgsgwdBB4W/+k
Sn6XCUuVvnh1mdWAxTfZeBct+8+Mfo4M8B27bjyVg0MiM4YGjrsOxqJ1hh/qzje86SId+8VCYmb6
WVdu/xHdH2t6K8of3Ziv4//8G7X5UpL/xNBe3o2LGn7xxZu4dv3Fxv+T1twtpzoTsutPdlNapzhj
61t1QQUcDAkxaUb94HbPQV8bWB+LUDdrAhLAShC2FLj0EYPyVWht3vA7JDOOPLc+zp4RWvvJ96Jv
nG2t8TdgAfud6/ntHZOWR5uDVAtkXu8Y924SSK7tpE/OCK2bGc2cf+yxXTs7HUw0HHraDCk2WHha
MwcdRIWZ6ewLGokWeLlKv0p8L9Y6MWp8ezqpcOIU0oS7qzzmZfEiks86KJXAknDZ0et4pAi9JL8N
jWTSGv41S15f7H+6i/+F6v/vlyFwUZJwIXCMY0F4BwnACMNMvaYOJbRYPFYxJ6UVoy9ujbrsxtth
VDRNIiv/9OuX/SsNwYNFH4Cjp2djcy/yx7uGjWeOsVu3cXkqw9k6cWboTsDA1wkMocdfvxKPz1/u
s+WVhGkDQgBagWX+3X1Ws+/gS5bVCfSz+0I8ocr3kcYXs8I1u2Wals8MJ6awWqeONxS/u2nedaYW
6L5NIWO7xGL4rA7vXj4InAQEA/TXoMk8Yq47xvOUNvmeyLSWIRSAGQx8qdwPeYPcpcmq4JvOyUsi
Pcq9Gn14YvSHUkihKSaGj46qbWcjkVh+q42+RkEDwhTfLIr9g+f4aH5+/e1Zf79QCDlYNhwykVye
1cVv/9NjavodrR4vMtChRQz1gPAwLDYyXS62MJKELwaZZF/iUMBtnhuChACEJGvb6oPvOpjnaj3J
OADnkvbfElo0r7jyZXDx6zdJvsT7i+xgZiHeFzQbOmgvcP76LhnlJybzbuc6dckcEeFGCznvRwj7
YqepGgm/aUzUWBMtZtCFwVpZ5b61Vb3PXYSDNCuKM/0dPHxBPsRPA9La49QCaam9pv4IczfcRKTj
rDvEadQZ2gGzFKVteRpqowXKBL8nRoaGR2UGu4+RUhYH2Kz52U7j2xjW7rjKu6A56ah50HZh4Jbr
bb7IZLJZG9xunpERh+lVLr3wOTI790L6oXVFC6kX68GUEHFYW5OjESraIsPEKAKTqbH0/r/Sudf3
TAxx0yAwC3ZR23RHN7Lth0ZaQ7aPAoN6babC+yIcU4FDxImDcBUmd1234IaAMx8tHPCvSV/Ty6yd
IrtHSzIGqx4OzYWKVLee+B4gA9niBvbouIV/0+wsa7T6bQ6uAvjvQPDgumd2vC1aR226WtzICOj0
hgglfWCrsVH9ED6wCnWQf0JGIy9tJWpMuJrCQKSGTThPMb+EDES3uDPSmS4dmmwDQM+LTXX0nTgF
pkKzrc0O1YXdx7tRo8Z2hmHYTnHfhTtVRXKTa6c4lPxVfEauqviioXGvkPOmBow1PIlB5Y2I9nUe
rR1sx8Ve+dk2XqJJkJjTJ05aBXk/5U5CBa8HgTDLCcYrHxhZHhGo0uiCk3+ygHNfsZTa9vzcDsa4
gMiEYimvvtpTwThfwUXsuto84SkgnwDQXTPviWLQEUz7JKlXKSrJe5Mk9iOGXwdxDtcgAu5q0tsC
sxiS8BhF7Ic6z+jH+rh1zLXKtRXd0Najp3zIpmBYenm50Fd+qx3uqAFxdDusO/bCHY3MNLrB5uj4
SFjDmomdxSm42JV5osQyNQXfth0hna6NCNMabKHILN111UakxTFMG2AA5AEKkjbiVEDPNy7mdYjN
F6MqnUDGxlIZOadwDFJYtg10llWchN/xQQUMuszKBgbihl148qAJRxelg+rVS9clXqh5OrR40BRz
t1giZo0YLjY7odoywUfgF9PBbNuiXns2MLE1smHMMoqgTEzOvms/GXUxWxvQktTK/GMaN6BWsWKi
iSqf0MaI4sggVufbjCLyPCMMxFYNls/C1yRRdq0CaUu9j1SPfIfN2LmAkmRnu67mHaCsBT6wDS2I
EzQmp3q4LkLsw5hfS+bokWUhwcCYl2/iyIm7TUCqCmVF0HI+KWeCzL8BrBKM6XkD6PgYPTZHjuru
AfxPRts8yxpnQ3832sxdhM4ImFctyBQdUiarBEHNQM3S2bg0FzGFVUd06AMpgnqLs36ujjKx8Gpl
YjE/LH+PMSMdaW4fCoM1Lm8AkrBPjc8K9tdEeh3PkX2y5jIheCPsafA+TDQbupNfi6nalDCyrr2O
BuAeRVjGDwiAnFgzEuKcnqGqlpIOUpGPu3bwZgYBOtYPLmilF2+MgCuGSKucXQc2ydm2/pzw5kmJ
IFvEQdO4BjO1TWijPefIIBG5xWl/DwJq+FIr6RzQ2MbRFmAG8jUADfweL6/SkUqqt05wbMGUtNqz
HiwNrZTmFim6a00w6Eh/qkiTg8J6ApY7QCd0kxiBeCzNZrk507RpcZS0sr0dJ1eH6CsHro0cSt5Y
1bLoXrKDiUdAXdzd4AMytUEOMFZH3YrIvk0VhP6zHdJXOI5uOnTXetTL4VNO462XGf64rYaCl66q
eWYiahd6BjIfLB9+eesD6xPvC+rByfVKPkXXkIa3kgx+57XIeh6dOo+z5K4k/xUAc8epIOb/saba
upQ3jeXSpMELJE0uNwnT3XVhSNx8idk1IIfJ4nIw6y0tf/6b0p1PxAICcHU5J+sSfoMNdYTUpQSV
pfQy7osp9l+GEu0cXNR0Ojt6NNvLmGNuekkHNEvvQ3aLfVua1qkRcfPsmjY9VZxMiX1RhbHoLiMJ
FW4zqaABlBxMWDFtvtY1GPDpa5Zn3u3YtSAiG5O2yNPgF3F7AL1cfCcicllDEmw+G+qA0NkmJFu0
KPAK8WSYUbErhjrGsu2yzE1qkGcAJ+0lfNvU23i2ssmuyz28qL20xaNKjT7e5nbJYzIbkSOObllZ
zbeCBXm6CC1uqS3UfO6R1APWugPf2m/ZZIbm0lKd7TNmyTXDOglkhaN3k36m/BcPxsQx/WIWWlmv
RGTQYi0sK+gh8Nv8KpgQS7DCQMLQseay4KMA/raboQno63EKAJMyz1iFSATdAkDaYR6WwBTY1i0s
ADxa1XXpj+6VoYF/bmVTFv1lPA21XOMaK+QDJxGkaGThMEoMkrYHFUDDbyWGHk9bCdj3PgcWnnyy
qtlBJYQXN5s+YpYwBL+MMIGtDNDcXRhRPXyRsWn06zxA6nFMSGi6G1sjmveqgy+zTWjtwJe1derc
oq2daez79QL9rnuTWYElQQdAnxgA8DBwZPIQlvTZgRZiUwzbFtPg6Ixq0+fA/fdz2HD3Z+6Iw3VC
aYHiDIFJ8zTAEXhIARCgQlWJeOReLzD5itJigbVrQYJlIX0S0LtnIoqHEKRE1gcfPajgYCfISXKJ
bcgJUm+iVkA3jrmjcRI4XE0Kh2m8ShydVVeBqqVzC+E+94/RWAk+1zga8XWG62nYFC26gxWnsU5f
53nE+1eYSXetDDNJhI5pMrCBoQFu3mdi7EYyuH47lf5Hb/CbTortgKb46QD/N/rZ6dvwX89EO/zc
SPnxQz86KYH1AbSZjafdfZMbBFQlPzopgfgQ+Kbt+hSsIZ4On4LkT72B92GJOvLosgRUWn6Avf1H
J8U1ETAIB/WCgxEa/Kr3Tzop72oi+K+Y49EZOEtPBVbKu0aA1ftNb5pxdaQtiqIoK2PvxlFDfZrz
Idz89NX8i/ocnNvP5evba9H4efP3u9Zbd+jn+qtvqfAwopbHwBnYEyHcnNLOEY+QOsKrpsG/+OvX
e1dJLa+3UAYgERBLJdgA/1pJKSaWAZpzXq+A2b4aMChHeNgo0vXoOshaI9/ZOmNoPQx4oR5+/eLv
mhHLi9Ma8OmZcPVCNCh/ffHGMBHfE+J7nJXWr0Ve4DnJoeNeQf0Yz2M0CzY283cf+V98xR7fFgU6
hzLCxRcqwk8lrm51qoYwKI6qsMZbuGT6FTwky6RI1Hgbm9AAfv0x//aCQE5Mk5fj7jU5Jy7//6cX
5KA61uhpxUEaUXUZcDLfTFILaKyO8Zksbv/516/3Pp3Rha0KEjCEJsjhWNjhuyYPo0hzjqORHK1q
hGTQ+REHJuBnNJ/CwaVgBa9mQcAFNkNspXVucI8/UkMFw1pS95RL0E5w1hNsHsaFXgddAeralYX8
4dNkh7+5C7zgb/dB4MGi4Nl3uZo87O/ebwnyKk4L3R2o9GP3wShsL7ps49wkPrxqEEI2+GcvyBia
IOC9nRB5BqezAZr3QCCf718kbegcC7w5dMtbhUvSz7mX2siuLokcsk6EohVQqkybPe7ttFnYsJ3I
jfAoKzp0rJTyKuHMOdlzuKu90TqhLDQUs3uzuqxJMzlb2h9vIwplnLK097wvISzlaeMja+s50zYc
rCgSxlufVcLfEIGZicVKYTyluRRkhSpbcctFacOwO2jpwy0CfGlZ37hLl+G2lSTpeM0go3fvxnIa
rkpTUgr5Hr2HXrgup+llIaAhwHPK2Gi8NQY93oqswdgwRk393KV2/Twr0zn6GFY5A/Z9/czIqb+l
tkLIgnmd5WsET79NLeW9kNcznulNcVAv+qjG0qDHs9EY1oOnu3BD/cChX7BNH8tJjMiSNWccZhhk
r7WRN547V/FJ6wzgY5HjQV5zoIkebUIKaAiEg/eSd3yP4dzzvSnXeugEF41DhHgcmtl78TlXn5O4
FdvGGTwQTFXC0V2MnHwBDETj+Y97VaYxZ13pJBzLk2xsX/O0oknsenxYe0K6uW+HnirAIKkMf0IQ
JcWRXOgGrbMPe+XNui2fZD+IR/SQ9GZ1hkVuW0wM3rEx++5L1Yb1s4yBnMdNIa4EshLOMMQ9rFxO
Qym88dpYu8QlXSrIxznn9GqEdkCduOl9QofXPN0gOlBuFNhhl2N93y29a4H1i2iDlFPeUC+fdXAF
CXVxpQ5v3787amSvXehikw5gmYeGbNdNybDt7e/ARC/XxWSmrBuzPBh81jsZ6H4zxELsON5xA8vl
8fB1NtQHYs+i6BIWulmv+3YgArIZQ3GmGWwpPPEQY2F651heT7phVu0xjMzs8R6pg4khJKrGqN9R
VE8YtA1+gKaBBRjG0gGYo5g4FYlkTSfGHn1ROmya2JiiM8RmL0ch5jEALCWtjiubtOhneovDa0+u
EkyTtJ2T22Ey7OGp5euXlBxlTy9Ogp2YTQxNRgg5qzLJbja83uN7bh8wL8rtmEx4Q0ox7Uj7XjfI
LY6D0+A2CFPn5KGigPEwHCKUIZc6RkztF121ljUuTwyOE4UYpTe0EesTFupmU8uJTE469jeGLzVE
q4bGpkZv8FkTze5yf7WDA5MtGS/7wOgPbljFCJJw7JI/gzwXTmf8yonaOvmY6y/KRPqn2iwFQ4zZ
na7wZRZc8NEAvj8TDrUv61m/igSQKOrcLk423NzigkHuiEzc7Vuxoo8dPTpli27cMtyPWsbGOlHN
S2mRewXeyXMPzeCwZFuBw00HIIBbasq89lVa/AfemW48s81xL9tRKZODb0Ts0rNK9rQy62fP0uIR
bQIknSAOCwSSfT+e51GC/yR35FS7Vv08tQutuc+Gl5Gi7zH1fBbMys4eUnI2nlI182CJyXOOkQla
OgkcBy+XwEUnREQcxxBWDz7c9TlJy03Lx4h3llOE3gU9I1M8zW1tfS6UYSCFhD4cHpFHzFi3rLod
d46yVHbh247zZY57z9+SP3Lx/7PBVJvKI33mh0BKLPv/PB+sBkh2b/v40DZJPxw9pzP6jTM01prn
8v8FhZV2eTMSANTtSEF/fJ8Y5k42khwDx+2PxDBE1u4XYtX4+zU7lvroSWHTaA0HRCYNvehqN4dV
AgshzjqX4IDMuCryBKJXUKA2m0mF/TQFYXVI3DK8CaSDPpynah9Ytcoo66P2GWkQZ5FaL6ZNmjvr
zOq5rA3egm2St0AtyOWK1UmF7XSkdAuRD05sC9ijwYmjbnk181RceZHH8pb5MzfNMgQ8t9T+G+LI
l1upi5mjx7KyTo4tWEsbHxLAKhX8nt7m3UBzEVftwKVZ5xDUkLh0Ke8pCKdhlQD1o7WSldyCoxOL
Kz+vcRLENuOOXPXqMDG0KuDRxG27B1gQXpEwh7GGaFW6rGwmSD5gDt1CZedZokzP9wFKnUOleGEn
mt2XeUpZ8N+WQFhoFLuk2S+3/mDm8nbhHECYrwf3CmCRSdfHoyZV2mhfS5SVaNEdxc5vz433EuTs
jy3iBKpDL8GkNzUVPYmcfEpODBN1zf6Pt2WVqDf2jUw5SUSGwfYVEMh52eRKHfqJsZjuOfsW4F+Q
yea0HWykXHgquqlwx2vLR22wNpWonge7qeWN7fW8axhufFZ8k7xkqZIpODOryFt2C18TarDKZdwg
p8W00QcB1hjXv+gyIgTXBCJN95FRec++tFhYQROmV0OtwJb864w4lyYB7RXkB/c51JULrIbGd60a
sZfdQHOZ98wp561hZo/Y2DDiLubQRmjrgWwEtqdYjTR8FSFoQAPHZPlG4fSTOOpNbOsd2kM2TMVS
dR8tVzRNibCcu2Jp+7VcRsNqqBoQdZgk3XktM9xtHnqR+WgBWIRRxVYZDPdA543uvvdHFNTrBN+C
DM95FgqfraomJQ6rf9xMtIOzxIgtMtE4Lcf7kYwKPBYcN3ITOWJCNmO2Blma4Dailzb4JLSR+cMZ
JLCleZERngFNVffMXeW05Z9mM7qeuMjTub7m8jdn5KfymMFn+DQaIrkwiEKjpy3ZeqawOMS0rEjO
C4xd3g0enwMQQWkSdcJQ9dIFZL8mY/oOfEyycVTc7SwzZqQDW2elxrE5wrzGraNz61wSm4ufikUC
mz5eImRe2P39IvtuJK4HkKaKDrjyaFTopif0DPDQmlXhO7KS70Y+3YjRHY7c1xwMOgisQtcmrAwU
Or1ZYMCfisPY4YHkbBzdY76cdimb6CZtJElTrnvjmrRVcDGVd1xt9uVyzC/Y+XCGYGvD6YjsNyx8
hHP5dcfUH32YnG7MqY4/1obfPavKdk4QUpeJS2xygBybfS7ykvkKcDDrzMmPDBFiMb57fuRdLNLf
JCGzRKQEh5VEfUThwUjnb17jc0FcsFkMFDyH+UXRmdAiOBHg+TfYgdvV1PXLCiLpf5PV2rEaMui5
7BrbOBI82NTXbYb5c1VIVpvEV9yRcx9x7ZHs0PGdEMoma3gavyvFl6rjJ8UCQd/UUYHj0ViwaEG8
L/thZ6aCHa8+1N7bob8faTCp5eD763Ltb9UPL2TRqLA8yn6Xwu2v5SGpurpLK10f8tJnMYaZZz00
qPdIWBit6hIcGKXL23L469f9W+m/fEATM4dPZUqIwruqi5I8dxCi1rhYc/9FG4U6FO1I438IJOtX
VZTT2fcla3HTL6fcX7/6Mkh+9+2irKAq5gHnTbyPbZiA4OQDYX6HAdUu6JZQ2Q/hsuoipma111CA
FjCWoixZTt62G7K4v72F/3TsftOxg9dAi+vfa5/+D+T3qnz5uV/3x4/8KXwyxQcTeZODSYgJqesx
fv9T+IQmikaObzIF/mH0+bNd5wQfaIKY3h/SJjRTvIc/hU/WB4fAeBK1/rAchf+kW2e/zwQgRYTH
1lqwmqbF23v/QBVNANQh84crK6kJhWe/GzRS0BXtqMpk+tGHNgztJtBzt4dAmRfmE+URESgZI5z2
AWyHntWKwYVpb3OVqnpI1/gomjq8B/NEyxsqV1omFlOdAcDNziUGARsGpQpwxmHAZoMH0C76I4Fr
RcsCN+uu1PV1mU8ck6GfhLT6w7rkkJaOF5VR9OYRL/F0jWI/Qmvf1GS5+5+oJfo95O6A2MERo4OX
Al4uOIYX6dhBoAYA/yB9NMTg/7thmeMtQ69QweSmUKLwyNVMk8HPKT1n8vJezNoG4VPqtr9OyPqB
LC/1sHR4lhmBYJnP9+XY5/uxV3mIyrNKjkx1muAkhO7TdTuZyZ6YbSQsfj1pUEIZADsjN3JgP252
qCM17NIZrjHbS8kvJoELazmthZ4jUQRSYZis8+BL6r9Kw/iRbduzWZKxOq7beJpBuxUKv2TTf9LK
nR6juQr8tYob/IGUJ+OS7+bxQcnm6+xPETbGq8GzcopJEhpcK+u3flzD5m4thYehspas92DYMnZm
6UgyeEY0woJH7Fbjlf026U/epv7yTQHQL2IAw1l0AXBytvabVsBZZAOA11EQ9G8y4jddgfemMQjf
9AaIN7xVjerg0CxyBGzLKBPsRaQwLHIF8mdQLkxvKgb1pmiwFnEDXQrzZfZINsg8nsZdFiV4eNAu
vRSLanAnVIFMgsX53iqREKN5zT9Vi5wiMnvwZ7UR60PeM/rZ2Cq4KYqJjssixkD4FDRr0nrQaJhv
eo04zoEJgSZjZqTEzegh7IC1uEwSEXvQmUL3ASwyuwd6v8h4ZZe/mozOj+DC7KNeZCM+YtvPPA1o
ScrUEl+iokdhQpHZZ/tYN/ZDRIVzHAgR2JEQii5F4Gm5D93+q7mIVvpFvhK9KVl4ApJjFSA5wem+
aF3iRfZS+Ll7kS1SmBDF2p6zmB8Bip8tC4g6Iof2TUHToqXx3FydmtCcvwDgjjaMwKdHmIXFIXrT
4RiGiSYHXpIDzgShzlSN5anxUjpo+k3JY/f4AEHQhxtLRtVHP4bANBiCBhcm6yfdLFnvcLLzc7bI
hNoZgD6k2b2uQu7DIHIxibiZeefJBonMm9qoKrE8sLLgJINJSixj5+n6hlGY2GFqz78xA5uOjWgr
EGvksPbUaqsy0l9T9AFIBYZh7SG2P0CXEaS22i+ga57giXiYxWIxbtCAByrbNA4KxJzxfyPrzr8d
mPAxcV5lHuc+9Z9d8Q8B7+92RdNkH/vFrpi/fHkp/rorvv3Ij10xZOcDLsbmx9jGYqrCOe7HrhiG
H1z2Q2cRB/oWf3IU+xP3zBDL5JgpQjS6jB4XK+ufu6L5wUZHKCiSQX0gm/xHcuD3p9ml1GaKZaFO
dGzTeZ9HlVpYolrHNQ7CAEq/StJpPnTCbR9++k5u/zjA/Rd0mVti2nSLIvrdsW55mYCBG5MVRm/2
+zye2WoBjs69cWhnOr4Z4X0bpzPDmwJTXfHHnfpvNcXv5yq8luDgjLbZITbp7Rjy81yFa5G2onei
w2RV4sb0VX9NPphzAUSa/gJ9OvmbF3TeyyPftIbIqj2TYZXlBOY7eScQB6+xAhUdkkmB04+aSl9V
9FOqFds4uOhQ0GZGEu7YO4JsevKa8zyd9j5J0MDevbhb04WjVoXhSKwepoaDIB6IxVQoKIRjogig
bwULdCz2b628gvoWqPxYYuqzirs8y8U+N5T+yDiivBC9qncGw+5TNOnkhOnfKzcO3Z09srLiSHN9
2ja6Le5sw52/CZo4j5IK+TGo42uzm5LtEOQoiercPMw4Jq6ZMvjhWtJ/ubPbrvg+O3N1Q8cu/Wib
CWBUKrSd18iSiEdcIl1VDgezwp7azI29D3vgi6qZhq0lR8x32mkvA0tXJ1WHLMBopF4IxDEOub+E
jCtjODQTaXZUOSICkm3Y1dc2LIorfy7GO5AIsluh40HFpkIXjqkNeiEzxJBtRomLF/3IRJxR+8yA
wpvaK1nW5HyUAcqoIeI+X5uywvxhOkX5pVNB/Zx2cfiUYlY+C3LrQEeZrXhNw7bG4iFwF1O8QrBc
ETQ87lQPsxiGlSO/ZJJWxjop3fzGzAmkZgASo0Xohg6wbDk8htOcr5fte0NUOfdeCuRj5Sapd5M4
1lmOiQkWDQGObIS/ZTCnngtYEbtqNDU9AET4qxHuzqsqCrmXpfw6LZTw2Am9y5jhBf2s2ZOoafhy
ZBnl12xR8xPiWOPOQeB1Zc4Rh8kW1CKZ671pkDWTQnA24LO72HJAUZruoR/KdutMSXZlpnH3GnOA
/ZJZS6DJHOPIxcebEFnEd7qRkf+10fl6sAZ1KvOlxRdwHHBGAByZe4k9F/h6Fn8ULamQTVTnewNq
DLqcghPcCNensl1zDXAP51atL1MsrWRB63ha+2aYvngh+PTZCBh6dqiaKx+uHVi5czTk9pVPLe+N
yMZWlK0utzZPD/7n/toBPsTAqv82FnRlPGXo68wu5y96rCZ25dr7Uo9ZdoMmzt5ks9bnxoOEVerw
TJJMsu28+ZPRKefEtM3eElDUniCK4D8S/nDPob0D+y16eItkZMFxpNle2YckC4fepQolzecrFNAM
aQm6YuSl3f9l70yW28bSbvtEcOCgOQCGlz0pkhLVyxOELFtoDvoeePq7IKezbFf9WZXznFRUOkRR
BNF8zd5rA8dmTOEWZBlNddytVJAqbLJGOzLATUo5Hd0+GYd94ulQSJZhUOr6gqliMD2qusc8iH6s
rXsYL2RrrNqxq+N7q4pdhkbw9Aa36+8dUmTWnoC3urIJIoek5auIAT4y0IXXEFq2ZawoHeZXVuBu
WOEa5K+7kFpWUaKNLoBZ1FdYntJGbgLVT8Ftp2x+0iyiLjjLEhLuIk+rrL8JyG93TerXsg6vPF/r
ctKj/d5+MYpwtrHrmY8bq68Gz3iMaTLsTTmgx/7qzCuERQiOXDsohkZtdadSxDfEiXq1etHsQt15
5OtsK51VCW/m2LtOx7PtwM3H+m4a8G77VpoHe8DBBaqso2GwtdDb2mg3D73hl+ybB3tH7QfsYAC6
P4Lf9MS9gSwtxgw+/7PjS/9uHNv+TRqgChcZTtONRUzOPk9Y+S5abCeQDBNrX9R6diDi01s3wLDZ
q5WkB7B76hnzWhaSOqdzxEbIOqdtikgfL7yGeBYd/KE2hkR0+L73eaj4fyWNwd1U6z440kxridTt
+vQymFbxzZKWy6TNjyjrDYu9MclQ06qVQRKuq7HP9+gPvevEjuRrkhLguzCTTiDgdtILGJ3ZmOOm
/G0allSiErQmfUd2lTyaOnPsRMVyWrlTmt8Facg4jJUuXeCQK+anIXScf2Yj/4svDNnzX4qZ/l+l
iPT5Nfbj+2t+lIHeJ0oRqeNNQLT0EdLxowz0rE9SQECROCs+/GLUaD/KQPnBTjEwXFCfWbNg6c8y
0ETmJFAxuXNZ9ZEV8jdSP2zX+LVCE4LfppvzgEagp0L+8+u4sYxKg+amxbefuO6ytbXuXGUNLkw/
HA7IDhEzwuQal3nfj1/tvHaOtrJKBgtC9Ld53oIrY8L/ilBcPynb8s44ucx7iVEiYC4gMwgrlnPG
NVvfjvBp70lKTLaKEe8+DaT4nBe+u05ih8AIQwLArssv3AHj3YDXAatFjANpUbfF9KYXioWoH0Ce
9kEd31U1IdMkI0NTdsxk25rMrAmtPhE0FC1R0rP9ihmUCnbf+yxK2UGlmsRMqQXOgUQ9cnz8ZLgG
jZqg0HS941gHHatRORiXQWu9sxMp/STGSD9h3dXYr+ZmuTEc5gsiN4LnWXR9Rod5Ixi2n3xD3E86
cmohfQYdpUU4oF4W5jsmmdmXMVLQiC4zlnAQmhtvFBiWYxTTJpDQmuwFNoJ2ohdfeyY1bEJxsJYR
KyiY8OqhtGKUuEOCTxriRLzzMKasSLJLV7ozCgTRRvuUg2EgazrsLw17mjfAkeNzVrUsJpQ77swx
rqAax8PFlhwcHZzdpoRTc6UPkvRIsx1WXRY4m6LDfesIxccIoKRbKkt2XfZhS7Lar5pn4p21x6Xp
FVdGFmAy0YZ1G8F9VWSQYbz2T6kqUlwq2p5YcLUilZnipKvKbYmk6D0gnX1Rx0101Uir30rdw/Cb
humNmJyJGYcWqwPZjz487ylurwprjB+DMfJenFKmayZixcEveEgXXV/ee74VnSZd6ieec0O34Ike
PWGvr4/AFZI7K7eKbYrxEE5xmes7e0icmH2ZaV4mQsFOQWBNm9Fx0L5Ssji3SG8F44wG+URUm91R
9pF+A3LeOeRBI/1lPFnJWzsMxdmXMtmNQ2tezQb4bVrI6KV1neiZVZ84wwO1LykRYLsBsfgZKa55
ZfQ20PE2D65Z9NX38WR6gGTrZJ9qmO3hBULxz2z3zLLQeMk8IU9lYCHeFUmxg3gHFRdMfbLprdC+
Tor+ygh7i9OxrHYaTLc2DJrXsHVRaoyDEmuj8J1XFDSsWoZ0H4wFq+oxtfc5OVab72IzJzMeTUu9
jb1ZBKRNWcaL42b3eWdOj3VdjNtJz/RLjpAqI5mbcCpbq+cdP3LBc9ixt1j2mixfER7HNwSiQVSy
TNN7I+s53GYdLwqmKHnAk8XeF/HIGqlCehUHfIm9aTJEbBPMEVaS3jlm3XwxXdqWRaPEfZNnOLV7
eSBNcJtBS11S1ZAFEiWxusBDTm5tP9lJ6AAH6U/Z3lIpcdVFi6SNmyWOVY/8GpT2GxgX5cqpqU59
2Le3POytb9NQsrtShFZOJHMt4sJWzw5SvAcng8pTGGm+5At1SEIJAaiUUhQ3WsXyI5HAGWkA4iUq
G7uJ061f9/qJcHFWxMkFMEn3rPmg95Q0xSXWA3OXCRcxdNJD0GUtXr2ZCE0WlN6rXh8cINE9BoZE
tBojONN9bhx2WotCnwhf7HGSrrNpDK6Jv1FbkgMxbYyjjWOtG+Qctd0TY+KPYO+mmkFy3iLM8rzu
IZhGuvhEeQX1SlBym6tRHXhFpV8xAy1OY+brayG059gAOTKz35DhJx6VlCyp0KtMLhMteqLM1feJ
XutrpovlAu1W/iWR4QSxPvQudkqwbl3bA/jFQGsu0Zxr6DjQmZmCv8rYGbYxA3+2g3NES5Ga+rlz
c33p+umEBMJN5Do1c++RzDb9PFlh+EQrFx2JAvnswSXY8RCdliOpnec6sNDMdH18rGOSFMB8e8cU
fdlNQ9TgKdb78lHzo+TMhLhYY3lCZ+LlUGAxrq7tujSfFP6MHXB1cw2pPd+EQ2x8g67YnnpoBa8W
uF8eLkh1nkPkGA8NhsVkQVnvbczYC7akKZLKMQbo/IUf3ghB/dWzRSH8qByIpOXQZ9ChVuPYFOt6
MNwrl1EBUMckD69Nh3RfUzGW9TTLhimht9OWoIF2S3Rus1feVDwkrb+NRBGv1eiT59CZ1rroUGoR
r6BP8bLV8FfawbCRZd6dRRcYB08E6jO5XCB86MkXneBxG3GJXyFqLHbMmAZij8rKe1FSRqs06/Xn
xGcwwZ0JJHJjrEZD2jdTG2tvheUgCmhcbZMi7LwWUZbsbUvzN7Sy9SWB9/gQ9K7PKrvU78Iu0nk7
xwcmPGqk8TA2Pldj+SWrp/ENVAS3/7ZqpnoBCZ71PDLlFfoDc2HU2pUN9a9rFsgdcJG3eW+nuJWy
VmczrCL9Ms+QefbHcXDf2hQiKBrLhFAM02suZVAmuzzkkgYJ5pAkMdVVj1LSd8t3ryrUvktCrMpD
r5EqCBMFEMlNh01t19jti13ZzBHA5ocg/vv2i2rkix2Fr7rfvjvJ9OLmwy0YVsr4qS94vxIlZuaM
a8QP90YZFAdMqs59VyjjUcV99jZLMp8qnxciENQ41aORbcehwMOjt4eirMuu2bJXKSd5otTKAtA4
xBohTzDyxlrLPAqPA/S8VdvD1r4pm3KUJE347y2yE5fJfc8XR19hML1hWrb0c52cLKqebRoW+Skq
Si1/KbiBUnt53UoMvtqUagyIA5zVKXUfGyuKPIBomE0PkEqdF3Kwy8+64wfxjT+EyZUT2qK6b8Mp
9LcJ6cv0FUPdT+h8gsaOv7qY07UHu/QBuouw8zMGWJHK9+Uc2JN9RPd4ebbpZP1EG9ojbgiSlc4G
iJ7YehqQ8+1kVDgkOjXtmZ8cNl7iUE4m4SGqrGOLKpkBCiIWgqp4ymgOI0FqkYdsIo44RO2PZICc
oVCLgiMzBnJEMjGe2WiU54pvE0wWI6Mw6l9R542HyiOboba0diuygSSUdi63zAl5smcT7RlFe+Vv
lCPHFaqKZucmxFoqKDbbmsHqcvQt4ocw2celFuwnK2gItvB9MhqM6ACN+yhFkuBrEsWRAUhDSIhT
fm5NmSxdfIjkm3cRxHN0qvhbWbFESQ7z3ioIPAgVDzJMMEubr3nXsmBjzmWkW2Li9HdiiSmjCWsm
bI19nym+SjeT7lOtt5lTv7XWbBF/gDxExYHoJ4nS5J9R/v80yjdMVsk/za3/oyVl95oWdRhV337e
c//xyh++FJ2G7Y9h/ryu/uFJgdNhw4D+gemYJ/3/8qSYOvNh78dmnGbyhyfF+CQZjVCYsAegLWPb
8Df6uLlL+0U+4TBlR+MPZxNYiC5/s05YaKeDOXdxpzIbouTExsyQweNPB+V/GOZjjoARDeQCZQ7I
Em9uJX8yLjTkixYeHNxdqww6EqcGy8WchHPaatZ//Vb/JgfhrSwOyxyn5yAt+O2t8tQfSoTelNFd
1FAARurKMEwio/ICqVwQAckRlbYlgs/iWqJo+uu3/7fDCeeCYE2PpljYjP3nVcNPn9RIJtfGwlfu
4qxHAOA8uVG9+uu3+H1bgcgHSgzgDTwgeDN+lxNVlTa2ui/KnS36+8E2H8k3IXnCEA5JtCVn6Z+r
qf/wzRFA8PsJggwD2huOKXgyTBV+21SYAUSzwasxKNJiHgKVimKZe1p6ULafHpLOerD8viTemh2o
viAbmzC1MvEQPqSKpnVV5yipHYPZKEEKrtq3vQNrsss74uBIC2PjUdcw5hZGKQr0/6G3qGLPAOiU
ml+MGIh3VzfvGXxTjHiNbjyOtYfeC/T/zJ3PzDMrVG9lhspctfo4PI6xXyHuCpiL4kiqwpVVeina
4iR4QjpJcEBamRc/yO1rmxiMW2kTSdRZFRLtoAnObZcJxp2ev8rdliRD3Z41+NO0BylwogTqNmaa
vltOcptH1puc3AsxM4gzLTc9FPoAsJSdjJfGcq3Z/M7UjCc0iRPRBjM8vyLD3a7j/lsVeuXeicPr
YpTaKvJyZAdG2q77vJfnYTAVFaD0D0ZgPgJhIJ0jjJo5Ngv1Qdd9M8n9vh+yOlqNIo7Pk1cG9zTG
ybJ1cdV6XbBycqSIQ+93O/opfx1Dwjtltb1sQ5+cJ9S3V3ago03omYGPBMqPgbdv3LgdNhEc+fvS
QQMX4rRbkr/jHAuCRPWrrIBySnZlVckHC/nyU6i66hoLLb+HZETjPkc4ccXMs93hXcJyXFVNyrdq
k0qakjuQo0RfG1mpcO16nCIp3GgyY8cldRLA7bE1Nh0jgUcrZ6uOR5k0RSzE7QvRluUsQhjFkYDm
4B4p/AQcLhcLX5KkFOJBUMSAC28/aegTfT+sLsWUVTfoTI+o+s2XcnJxnrem2pVaKE5iMOUuzTgX
qLqiDc7/YZul5gvPYHskWLkNNkxYhp1VR95Fl0G81cyiOtG45DdtMq5YaI0npGQFPhUWXpuqj8uX
XLJYJ8kMPqEYbMbVntVeRX6P1GQK5Q0e/43vm6h1/cYRC2ryz3Grwj0vexq64GClPvLSor8Uo3qI
aUsWGoA1JJZZd9VgyAVRiPyna4P+QssotoYZ6TuhFwwU0oYJHCyPq5FEIDwGgZ1fwytxgdoiQXUX
bPj1i+mX42ut0VIlXDTHjiQyzA7S2EKiDVcy0Vj3xSnSXbBxzqrUS94tUCYKHba8JtuYwd/4WB8O
TNf8FxcTPDx0VouB7/dXA4X40snbfikBtm8xjuDfVVTs7HCopv0W7Q7l54JCqD/QaYnjwERg48cS
cFAO052aHj2oExJPaT55YhrXAYim2wgy3s7ozM/sSY+amwR3KteZfzkcaTOaDgxF8G6QVLSYLK1Z
wUtD4OCKEPJrfNLqsrjEJfPsrJy+RoFLRlWoq3Hh+kG3hzDSkmOqX4aRtNQhDxBc4W/IPZJlJ8Wv
DXxZPlRCc0g/rXuNrKAqx4Ocm691lxDuGRYs4YZNWQTmPaYVb4k+A/9h5nT1TasV5iv3bXcfpb25
1QWJBQMe9DXEKb4h2yqms5+oxliYfjE+5MJNjtyQpr0YPKQZho1oFhO3gY8HVbcPJrbwjRWDlCOk
0m3IAwCblU57FASopZNUZOc6dfdJZzwowFALwxfZMnCrg0XAB9kXmr/yleaeAl998yHRLYm5WTut
Yb22ulV8wQ3WXRdWTTKXjYx6xS1BXkdjPBxZYCcot4yKmMxIrfJ+6p/zoScRJ5o92mhkxnGZSC4g
wpeH+B0aS/Ik+lK/953JujCMkyszIdtPYIKqF2Qhmujsw2bNirHmOpHDVxRH2rUqofnWdbZUlRM/
2iHZZ6MXkYhYVgnsOmuwljGCwFlDzbx2cqxjgourxD9F6m5au9qOuYlclqXz5pAl3yw6dLYrBpXx
3o1d5z5hr7nN7IhYJ8Ma2dCMEeGxLAMZsoc70pjzqxwN9M5ubPtaRkJhlAqCz669ToNo3AKY5fB3
4fAguHOtDGyoGw5Scm+6gViy4mckrAHPvbNKuZZ9mj41JFt9HjoZnmUlp6c6M1e5ikiCjYuqOrei
aDYKpNOmGZ14B/K4WrDL1lY8PN9Jm2FFWFZqIwO/3vN87KH1mtwzygEV21Uj0tFIAJfV7fe64h8V
63/R6zhyFnb+WRT9W40PISmvXr/mP5f331/zp4zVQMbKtJEeEVSX4VIi/VHhi1nhymoEuQhF4Yy5
/1eFL1jHGFjLpfCE9auMFcq9J7i+Jesdinzd+1sV/u8oMezwSGnoJFzejkSE30r8mZ5Mvg1cGBRp
Zewx8aLwbZ8rzKBZdYh1UJwlWRuuG8ZbZp+s+48m5I1+TSFk2U6zgMBuFTykPN9V5inTaH7kyCmP
bDDGbMEzv94S3Eq495ZsJzuKjnbQd8xQ4JHGPtEQ4B4860G3mb+TUhy0aTuER0HIIQhqbnEOcHgG
lEuto7FND6ZjoRWHqJlEI3HOfqe/EPvgN8tcNlUx3oFaRc2zdq2gdy7MH9rQu46iBp2kB/4B5LCh
pUvINDMMuq0mbUThweJ7yZMRmtE/rfH/1BrTZnEe/dVVk2Xf3prorW1+uXA+XvajLRafaGN1Uh4M
EyUTfc2fF45jfnK4XNDF/cFy+AnXwNVGi2Ugi/2xx/yzNdY/sd2Utos5/kM3/veUbh9+8V+bY4ZH
CN3QaOGEBwb4azcHQ4otLPm8uzzDnGOEESOnKSMztGmeR6m+uDqbvyKfmjXMQ5LrYlkvCAlX4GRU
sdQb997tXHXQkkadBnCtnYtBxtEkGxucsYmuMZeMUa+OrYVelNE8EvBUxxNb8IzF37wpcNUtPdl6
S0iMl4JLYYXgOlvElkucYOngqEVqsGCe1C1jNAtLndHrKlb1c5d4zEYjitwiN2bz9xepFfoqSflx
JRgVogev9kVXPQsMEcvJ7sxFPNnaOvWdR+w4tzxzvpAlNxvHi+ckB3IaNGhwcgeqljQu5DpQomR8
HlkMzVqvymcp4jknCgVUr83G36A2WFeRcQoofF9V7j7ImgZgF4eGBzQ1XmricVXvhtKIEZIcytyt
6pVe8kuTjkNgoRDiI3AYqKXSqK5XcLdo13T+hq6wWIP4cLfbEABybCFgI4s4WUkwwstOWRe4wwQX
8UrQ0+4i8qjvJtx2i2DkEBSJCQC6EdMlyJOLR+jFOql5S/hd9pVtlfz5vWms25I/yCykWgFCeFA1
Jjgy8tic5Nn7mJVAi8yK/GB/ZLoODhrnbhK8+QnRD03l3Xs6azayCQgHo4VC3A6cDqqUS3YnSGba
3Pred32FVI9FIfEV06aY9GnXuxw9k6p/1dvO3hXa/cdJEpUjjZFV1qvC4TwAn3VJO5euUvfuYeEQ
QIjDc5nq9qWL+KOCWFl7lmjc72Mo2LiQh4PjNQaK5vksavhZhl/nqBZUzXltrJ0ujJfSl0DkQBct
sBwU1O32mfP5ffAUg3msF4ukj74gD+W7n/ivGBcTKwUtW/WNW1NZ5bwm5SjVAjiF4RTTSS9rb1nV
1fPH951Swi46NkZLXHckG4acMs6cCZ+XPC9a6SYHXQTvXOSc1TwNoFBxdgLZMCnOeRVDhvEhCflP
6cZfTMEfwpXHnqFQ0bnlcKHUvx/htq37kuvEcXr/0COGOYVs65aeUz87mDuX0uEbdltOJhgL54+D
gdEal7nGjxYq/ZIitFz7IKoOhD/Ya7yCBa1T7R9G9qy3aR0XSwM7x6JHpbo0m6LYTClx9hUdyiqt
LA4pBfq6D8L6yq21YUuvJY7w2CNkP5OxVg4XJVvUY9Qz+mBbz1mG3AcKW6ZOrsGFSu6ZvnI7htyM
65O1znWCbDC6dCHBC/PlxWhh2umiNXDp4bJo8TUscvxfCz3l67ZCTx1wwmXbgfE+eTHzZUhmPBxE
vlst5eNrfnaU4BG4hXAKZEXpLbHVkZ87n+WTo6ZNXlTelo2aWsNx8zbYHxJyOjmdP06A+QznEr9E
1pRtzZHbmNdxfVuTN+0+vuampVVoKk4jZBfNHC/svxYzFNsO+aiTxntlpNJjvTe5e9nRF3YafAVC
vbMaNtkac/XoGldzajbe0sgYhOhVmx1hBA5nmwRLt4+/aFToCxJ/syMp7mrN7iCCYqhru8DmOs2x
RhxHIHgbR3KS0eZnR632ePeM2xchk2h0uDkAuYMBZW29kIBkVrv8MtETWVebcg74NlfwGetFCXtl
38vancF97orcMx3Vqm2uNeaKS4ISubn1fHWao7yt3xqXkJnodhLZuC0abiaF1ZEviPJ+6Xf8CX0r
uIqcIt9RsfA/uOi+35sMb6A1mS9aEIsda3aNqOomvGGipBMSaV2McZYC+yRG26yueewQATCWQ4FT
IOL7Y9LCWETPoMBaA7x19U4Zx6EZuQI+jjVzWrXCRRretILv1coY4cCQqFeaa3MLnHePTqL5Nwab
rpXMabpcv3wvHf4ZA/eaix6nb8T9xNKSaCOq6s3VNXudacxp8tJ5THNgZUoLAYu0ZweLzsJEfnsY
owHBnUZkAVlo2GPWhuqR7GUDPlFyOKfPyk7ICYPwYxH/Q5aitpimKmYKmBMEUMQe8lnduLcDlaxq
ty/i0xjU7SHqGWktTB1S5MIPCFJm3oVDgrih5iYMLIm8mj4WlUpVD7iPRtWQoYFOul6zSS7EUkJE
PxR++6o1ef4VIfibFek5kWLmoN7d0tQmjF8kXNZLLox+12RMAmDMDV6xqLTSXBYxZuU0tjoN66mB
AVe4/snr8wnnL1FE9RkqsuvgDKHF3jXj1GjPY2ARbI6uOzn6oWcSpgg8hQZ2VGV0tmGBMAFB/qfd
Zoz0DqEj738qxf7DVHeu+H+ra6AIuaaUDhN/7/chOcHNxmQhN9850Thuqyl8jxQPFzNz79sqNzmt
uOosWDh/d3Tt4E2waMYZPOmOqf9WT0EmNkb8x+1O9B83O65BM1Jfs14j4b1Q73/9KVms/PunBEKM
TE54mPl+ezdSw8lynLJ2l4ycIHMl4JFWsg7QpPzTOv9PTYCB7OsvvS4334iEpHh6/Y1//8cLf/QB
6BnZ4wrIbN+Fif9qoF39k01/LDxDkqbFRoUW4ceKzPjEP3EiIXQU7LBmbP4fKzIT2JuwDekIzBUY
kgFX/Y0V2feVyq/XC+7PuRFHcCkg4Vu/9gFJatZTWugjXKlMjat2jpLFkdGjBZ8BgmvPiIVJ4cNY
bNM3svQQMVTVHvYL4YdQxPF9hlT7HjP8JrFXIYYU1tAKBGzlvRUkVF/3Uo5X6Sj0lRUBO1pMwE/E
gnSIGsU6gWeTTIyCWCjYKGuH3NpmgUtPUHDE8Ko1YeSPVT1WhxHb/llgDod1MU0PvqGZEI4SB9mw
R7DsOszT8i5QUBp2eumhWRMwQV9Bz6KVUXCxqMOYlvT4pT2FwX7AGhdmu8iZom+aEMFbP2nRCbKy
82yPedyuPIAJR5QwaJgpxQADQW6vE7xrgbHOtd6+AciVXHWmF18TTN6cOhxnW+HHE+GOvkV0VNMN
a1ivipE7iNfZUhcsBxIroGhRASYftaRX4EToEtt8cCsOM0NZcBe4FPVDRvDkOsPSszNQX6wNjyNv
RZY49JOX3jSaKTcNLpALEqn8Jm7dCra0CwCr01V2YDNbgBOZ/KXqQxyHNILNkqSfEyEogb4eHdmH
i4rtDeBhW38Cs9Mc29x6ru2guROMK92tWwEFRTIVB1AFuFVvZ+nk45AoY8NU1UXjF5C91U2+f2Kt
wb7G1NUyzbPpZNvIWgnxdWOCsWbuwUxAgNWfrS2gCE53k86MBGT+JQmc+o1F8Hu+rHNYCkKr2xcx
8xWq1Byu0bwSywmAAcZts7Q/mAwzncGcOQ3eTGzwiji72DPFgZHnE+wouaJKVatxZj1kM/VhRESz
xkGS7nqUdzpRZkul4vjWb+FFtDM5wh9gSAQy36rYdNephd0wJEp+hbMW7oQ3Iyhiz7c37Yyl8Pr+
Tfietsk/yBXhDLHgJMd/OYMtsGOiAiNTeI1WuV8RYW+tZGZfcs62JVTHK9YYROXOuAwwVs9TimFh
mjEaIZa4hT2jNfoZshG0PO9FKyJ2kCA4YNCDWJ2xHHZSIFuzQHU4bl2uYngU60oMoE0/kB4d0XbZ
B+djmJEfBXzmRQv2aM5nY0hUyNaG4AycAbXgrNuKkFVspZWOoERIqR6iDftW9I+kDk0WhUv8HUDS
f8eRoDdz2zsDiE1/Z2PcZMtslyoUj4IJWrzW7Ti6kpXuXBoXBvjTYE3APOAeJ+Ym82YcWYJEiPfv
ojNDOuPJgxGmE7Qqqm5Z+WY4+5NzzX5mg5LF+z6fAxeSfMKYOsT6ZGXbKteq7g6Ar9XfNSyz5lIt
IK/rrEBAxS9KNdWUrQiRzbBXhzYt+lignlt1tTFwZ2ujIHhJCfBKluTxRXw/Wp5yevY59dpAxm5A
Bm40zIyVfsRWksSZ664hmTQq2I2Na73MZq7mjRKYvBvYUZMH9S9pm/xAsLFJt5j5qgFrn0mf0CDK
Z2YgoQ7x6z5TrRwhLpuwdo2mMnwuLDF838//M+T+L0NuevOZePp/z+vO375Ur7V6/XlY98eL/nhK
e/YnEwoCnB0eT5y48+/7c8xtMZNjWodZ8zsl9c+HNKYDnYgFRtlYUnlmMWr/oWPR/9ZD+Xf/AYgT
1u8CXyvQamnzh/32UIbDBUUv7I4mdp4uPE2qMgxWpaZVxiM7TieyRkTlUeeH38JWc5lx492/t90K
LerU+HdJ6voTXkTTOFUiltdGVcvjgPgAv1ai0eDXRKkSxVZpm2yK2mfq9xRcllPGq87w2g0Oquhs
DK65xHvP1qno6OwLAXsPDZ15boLUXvoO7Em9c9MbpfQM6lTf3nqZxPMVjYECwtj3dFGV20LXltkz
PkX/sdVDjUQPN/duk9BNbyujeQQ/Nu1ryPLI7J3gRpb2dKuLpLodAnKoeb7K6wkm3FrrzeYwU5AY
JSAj6CRXkBXO85oIufV9Cxry1XHSchehy2A5O8GiBDdW3xBgEz6VqWq5BHOcg2bQoawPHXHn0LLe
2oOM150+u840PRuOVdAbR7esH1DBcmcXAq3FwupMY6mzlbvPmhYpghi+qGGoKPI7Ve+QtEfHMspi
0BGFXX+OMlIDFyXf4QOepPSMUS5krxZO6OksSC7haHJ/6VyHeFL1MWvSohvDq+Md/fZ1zwNq48SD
Wk0h0QA1Npqdjn7iOIRZe6QVjc6hSNl/N6S230Gfaje0bGrZSGVcw4epdyDZspNT6v3Rgtu9w4pt
vsaWmR9icOh3KG8S9tZKU+vMKBqFuttgCFlY7WkiJnSDe1eDsJ1kF40BwV0zWs0Ls+TkfTRq/d4A
hUG+wJCxnrS1sxk5m4BH8DPHiry7csi8mxKP6rNZRd1GgPBYZY2hr5n+TNteZwqrmdXwtexrVLZN
kR/joRmWjElmqSsnDnNGzfPeTDMm16ysBKMzWAUZa+YE/bEls/CSsYZXCwmkfz2iol6kOmZRouen
hetZr53RuVcZXpqtBazhbFV07m3Gw5/GEEZmjYJ4EJqH3Fzz4mMxWdYuCQp3p3ckJxIIGd9QITIz
UUSBK3gihFKQ9fJG0h9JiX5QI/Ype5kw1HZwi2SRZChXhEg6FXmhsORjHsuJ/RwJkCnVwKpZekoH
SFeD5nQKnhKoK7pLhdfxpUzYiDM1KIarwo6Ce89S9rWLK7Fyi2DbdU52E+l1c0t2CnM122zGRdtN
KuWczBxWV2XLc64Z7BVJFw4hsX2mAZ9zpb834xgfiSeqvY12HKBmKawJGFQ5tAtZ+ekjt5HiZszw
ZGSYL9ddmyLMZYp+ggaZEU7bFcXSKSMXWsZYXqdBGlxXoWXMI2jzc4JKXi24toenGkg4bk23He+k
VGZAGl+iradYhDugV+mhnboM2zBTLKJKtdImkLEY9evYx7qwRJqh0rOmoCo6AnYMTqPcL5ZWWfrc
SaKCIPc0/5oI5H3MT9PhZE5OOvLV2Kzs47HTHlFQoTmNERv6aPWDYWVGAqLIFGelsaEkm9JF4RbD
xUh08VTVfob8oTCqotwkEEt0wHSweAZcAWZAS2Bsqq5gMzjLhqQbrAdU7fqdTzjCKB8CJy2a28Yk
n2uXI/GJssNUIOielsiL0qFYWR1Dn7sqHgL3zQqUjwU8xADW2w9pF/els3YLW1MbrW2b+OvoFIVQ
WzDXVcWDi4fbP3XAf6kDgCbRXP/fZcDqW/Lav/6qZf3+mh+9OpwJdsgwGWiFwUz8VAU4Nus8h+3b
HFSnf3CZfrgSvU8Mm9jnefjSeFzPXfyPVh2kBXxyWwdNYbgzUeLvVAX0/b8NfTzW7UhtLV3MwfLY
uH6tClTMFoOis9yNcgyfoQNlBVmgJh3lwHWyHJwqbTZFOd4kuTH1S57w7Mwc9Du+XmywGZIsCqxA
PPtRSzBPlgF/JQyh/zY0KPWYx5M47eOyS4LmJnM1bQGa6fP8AIdOERWbLCD2hy4vWON0ZkfOQYx2
PluUuxjg5HHAlnNOYhtNutuy6XHIYLCWfpxWByloydqccbyGRAbJeoW+xZPV1VAyuJYpoeTaYMfb
nj8O4VAliz1dub+n3G9uMy+wDvgaP8dOqT1HScrEuMwI0ORJs0VCHxCWw3KrAFJwPQ2M9dKhvpCY
+5VrjQ/p80lFaFyYzv1/9s5rSW7k2qK/cn8AEzAJ94pC2TbVvpt8QdA1vE24xNffhaZGInuoofSu
CIkxMyQbVTCJPOfsvXa+831yDti/aISuVP1ej/PXBoscPQG/J/VFZ9hpN5CGzLZvdi3A9btkNG8d
a9ZJsumv+prWPXm4t6nhPWB1v6ISZIc/V/fM/lF+0bbFbVSxr+J9zy/lZa3KS+E1L1HZm5vF6GeM
4PFHRmLH1cQSrM67XOUfWRZxWdb1/Zxpy4e8YKDRWAkxnl4z7AayQzZpiqEI+eJsRdvIhXGUR876
EUhlt/nRCGiQHy2ufrZyjWBjMljvgUYXTzXj1ydUgUwx1lkdFbG1c/DF4OrrSTLRy1e5NDdENC6H
SGjIzlT7qRZG94C1e0QLFUHttJqCzAuzuSF17xB5iwfKhwxeNSbdi8i9B0em9b6eYeoapB5dUvy4
28X1jYPfOrw/Cu+xWBqtxQ83PcYiWhWBOGYZKqzMDT8avmh621W8bXTrtocPcV2mpHRh6Ulmxomr
JLJIqntrLZisDtITGEjrThY99CAPwK5lJQSY8OSwfRhTMpFJ+hjLGbJn11p4YuLGQPeaqjrgNcGe
CaBEfW0a83BB8dgPO4Si9iM5K+mFKB39o+CLhxJSCFnomUmQK+eyZh9D5BdeWqVfTKq1+2ONqQu8
WNarV62yF41+SV1Hr8p3p6vC7KwkiCuGSwVWETBpBe/FMjPu/7fQ/yf+c5MllVX236/0V8zL1/81
TfpTzff97/1jtQc4ZOigiFahkmUjZ/+XQsM38KeLtSNL3/3PdZ5//HNd1/+gWeOukDFB89Yleu+/
aMG+H1jgdyBUQtBjY3iAm4CP8aOsfkBKkfSYeo4saIyUy07trWyiXULkPCR2PU66L/Mwtl8ao4t+
kxJI0On7dwpye3rQvMKQgyA0fHf0FH2UnTcyP0IxXa4wri47zZSQb2kKw7frE/3QtzDYApOQKzqh
zHFWn61ZXTIIU49EY7dtQAg0+gAoC+yAfUPVHbAXc77pUobF6JMA7jd5t5j4nLEXXkSpq2htysbc
Wka/XPlujBfZfwt6I2snx+FUjd/czFupminLMbFYPuhlIIZ3rUZIdgcyjwHpNN+8jXJZKtXeHUV0
qu2VE+RUDDn5mHYVRFPVfLJ8xCeAFRkEDwTLqUFlRuAkQqvAiX7nchjRMpAI/QbsUBpX6esYW7Gz
m3xXM5/0MYrTbTnEpESRQqTZHxKdmDCagxOR1Rd1b+V4+6aybaab1nQBhwATn2LU61ri7epcGfEd
QXXOTi/ykt19Gpc6/Ds59gxUExTlR0OsfzI2SDR7menLVnscqE4QE6ViB7zswZtEb6gTY/IWyyNv
3TFidq2lwxzfCdoq/lyuBtlxtcrWb65Z+eagNTDAvCzD3GvbarXYTlXr7gcgGT3/tmo1ui921o7X
rpfhzs1Xo26xWnYXTHrhtNp4OyQkq623ZEJ7ZUjIAB6ilW71/o6rDbgrp10LtfmmXS3CgN1wC/dr
RxcfQ3Q7Em7/mK+2Yn01GENSwohjA6Hv2cR/W5W1d95qSW79mVAnKr9dUhkpgn3f+pDRMQ+mJKnJ
j0V/DLumBw5fHMzV9Jys9ucRtgFCCOgFmwp3tGZgk5b4pWdfPbhEWJD77vvys10b0V2ZJ244r1br
fDVd61NfXrh6IbeyIUkyWc3Z9WrTJtoh2SOB9784jOoBga+G7nG1dsfj6vKeKV+ufXB9bGQyQztV
b45wtZrDu9UmPhFA82SZxUOm4Vx3oC2Sdo6vPKXFS6uDhwqzidjB5hVHHCfMhFdLeoc3PYqk92lZ
7eo+jVFFtBcm9m5hSrLAwDISDO45TvfxzfK+mt+tcbHKAC0tTvrVHF+vNvmodo0P0HO8a8OtcNGb
U3/0s7w4Ak70N8Nqtper7Z44CdISrdK6mFZTfrHa88u4sW+JMTEwizTZS1sl2QeuKLTL1do/1Etx
GKqquc5X438TrwyAaMUBpJ213PBWHC/Lfo0ieeMGRA0IAZVBFQ3Q2bOsWHN65anOuvVBFCAv4ZE4
FHMXaWze0nQdeFjnwRvk5cie7Hl+IxhA/9MRrYzpVZ/k7cOQD9N9ukIPrDwGyjQDQqhXJEI3Ov1F
b6Oj2c4D3Az9jZ5grCAFe0UqNMs87ftFj0M9Q+LctaAX7BXCIDBEPmOEBszga8dqRTX0MBvgaFdh
NKA4n3y43gZkBxPCg7J1teoMAtxdw1fQVmxXVyCEvqIhiKEHEmHIkVDGiqFLos/hssIkmjesRDul
u0IoRGeVmG6z2m6vkxVEwawa184KpxhWTAWUxPGWExKdsWEMz4TKGRucN2XIc9KH9Qq7mN6wF28E
DPIc8sdmxWJw2XlatInASDdvvlqa0+8Xj81wMEck4yFIFxhTAG24b8wNcl+dTUZjIfCkbb5iXVjt
oiuoQ63IDh92B8So8SqJyhsGHP61uQI+UEkV+8X2iZB743/oKwoEi7h+5fe5f00/3bxV84gcja2g
fwlftCDNfj4Xb2wRY8WMDEPMyE/4sEeiqZ+PaW7Ep6YG+hp7TOY5GdXVAHIS8yBLzYoy0VD4ncxW
GPcOzAa6cL0WbWTrqC/JGwlleqOiDCsgRa6olNxxqdzhZvAu8bfg50wMKaBVihWy0oLgfjC6TN7F
bu9emyuFQBtarPiwqdpHiW32erbd5WpcAS7NinLh9TndFWkN34Wnx72spkl9VW/8l3xFwVSVPZ20
uByBIBjj9dh31skszGrnpW37NNm2vJltFaFvG5e9lc4JHu+hIQBkqD97feW+Qh2Da+WsMcK+H3+d
oGdtme77GGqa3YRb60LN0g6Z4fYbrV4ZWr4mNdRzqGMCXTKibkrPKIianUgBcRYtOxWJaJ+ioeq3
kERhKtnlCvV0UFpVwmgZ84ztsxdXjrNlBFR+tuLY21ftHF0NRuRdjF6lYV1fumPiewcfZyM0L5P3
GwKavrjuhe6fM6+UVxDSgG14sj61NcixqCfrJqOJdU1G6ojPpxqeaXUTNdD4IxoTobGjlxSst00s
vctF89U33RoKLMpDyuva5xxfFFOvPSSJ7Xxo8UnsZ6Y0IqilllXrot3gImfmuO11rz67OSa5VI8q
lqURiJVXKKqAyPb2bl8DMwAhllob4hvaDWGFVMi1633K9aXZ6an1SQyyvtLiyr734hjPhj5bl6vO
mmVQmTeqXXSsMhVwBFue2sIy9iCKN6Oq0tDPWvNq8PoMMgeSki6p6ps6Nq1H1+tHcG1asWvb2t5r
TlY1ZO4i6KY1GxY5hkmttpqjWnR569qx+EIxXPQBjVAYWNPo3xt0HJlcStiISUfIUJQlAkhPI26w
LzE8NMfZvy3iyt0TMl0D6LMuPZjCXPZS6Fetblz1eBpPiCG9rZFqLeMBkg3hc03+Iepb9+Bq6Ptk
IUEKREreNEvR3EAnw9WZmOZhtuwKwSyRGhNz5mUfGZ37zF7ApPLEEsP023JfPRgtH8ras3dIB1/s
tnC3WubfWgwZMr6f3kPkmzx5IAoT3lHWZ8mJaAZA9ZVJtIMraEDy0m6XL2nTlW0g8ZKdTHg7ds3r
TdEN5NYUcldmuX2DcTzfGSkv6wG6XrZDQOpmoYXvLUN6J4ZrwmbbULbdExE95XmcRoESbNHFnvcd
3nwx5IRZaGqnpYZ7IKnGOzNlmHkruOkHNmiO3GgZ9XCrosPQZNEmTnLfJEyhAxeIs9LYcGcXNxNE
7GTTiTkjaAEF1RaXj0IHlk93TtcBwgAAeXR0VZ37vJ14Tiyn4+bw3a9sfJOtID5+n+ssKx4gffql
7FSrgLb4dD/Ce3wk46d4FGipdtAmFoHqtm3PTd77FwvoinIb29FRd5uhDLAlWLCFat5ggTdGx3QY
uwWispWdst73W1yURjqwxfSR3bVmLL9ZZeZK2rV5r+jGB1brXUYjIrm5x0ZlM1W+hd5gXQnRqWuf
hnvo52m86YF6nMgfWrbo8+KXxfEuMuE8xA5z08FMr6sUDQcIgVOZu8bH1EV50CkIAW3k0BNxS+cF
IbZ5VBqS6XFKrLBl2L5trOUTDeXPqavdeg0daT8ZnZDkjSSQLRTIuqf3rFsaZAKbjj8lwkVaGCU8
DBTKvkmmrvLExpf+gPmKzQ0avTOhCtaVtMUHQwqcoWOPvC1HRpfnXkfVXXBicGWit1AMdi2mu7Ur
KvSjLWNpMNQk0auTl47nBAXXEw2GIgdpgPFVd6puZ2BxR845I+rIwTEuteqDWpR70lmIZkoz6wOp
TRBe0gVxMIpIhALueXaSddiO3LXi9vuEyGBrunb0UGJ3PDRapE42g5QrtCVpOMaT2AD25zWHEf8I
LsLbQY1eNg3xYRslBlxzNe7dSgNR7eeZOts6Xy7zCnJL0UI4bdP1G6dhCvZDxfwf6OgYhJrEOaIv
stAuUR/+XJYmkVAQuLz0CE6dso4wb2AQOMCrwB5y517oFRUpe6mKVzbtvb8/+Ht523pw4iTomKLK
xET07uBLWnWOWpoU22DdfVmyrrps0iI5e7mf3/39odZR6o/6Jw5lGR7/X6tfRjbvDkV8dubMScmh
GoZmW54RVQSViutvf3+ctQ/8lwMJ2HU0HHQGbu9pBHmtSFPLUXIMTaR2ideJo8PIYVtUiDkxxeX+
5egnespFLz81bkxFDZUyOWvkqVNcRwmf7u0j/W9Q8JtBwZp4+sPF+4srDppZ36Vf+v+rX/8Ph9xQ
fk5/0g58//t/Dg0wtOmMCqBMOG8+H+7lPxkY7h+G4QJM0KFQvM0N/tVN8rDBEb9KHQvpmiKD2+7P
7pL3B80Iy+Q3nZWgwW/9F92lv952BIfg4EMySEOLJs+7oYEyqtygwNMP+byS9l+hC59nFR0zzwur
qTqUqX4C1LmlEftikHqTWfI3D/Nqnvr5zucjoMc16DD5BKga6+//AI6oYXc3nke1V3fUzpF4UX5z
KUemzyXoVbR/OiPs0G/iip5XdNWgJtq7pqi2k/mBoRpsMiT8hBjr5LqntbfreZs1LpncKwNf2KS/
New7RuQ7evNFAOJCj7fqngIt/5jh/lj/UQmBfE49yqXepyU4YG2rbP8g6p4Bc5w7l5gaKhUseo88
WuukZYV6DsDeqp6Ux4Sce+IwM3IvLaoA07qIYT1AYlxuRS9XnyAuHE9D+pYh1wbqvJX5JSieWzrX
w3auaJ9p8Jsc/4NhaVsZo0uUfAJawuvucCMcF9iqH+hJsh3qIhznklU1vyOJ7CFrp26by3I79s1H
5h36Pi2Gm1i6F5iiSIUbNn2Wb1pnKvbOwseYemoJq6q+lLPQ0bR5IPD06Usl4jB2KK4rOdnYsxpe
UJKDLbs0t84xQY6b/y0u/1Fzmnrmb8eQ5+5bXFc/9aW//5V/LCiIcP9AgOSztaDGXdeUfy4ohin+
4HVFJhFCJY9cIGRKfyqGHRTDJusQqw3rzVvn+k8xksFa4yMSRKnEC8j57yy3SNJ+fpyRR1nkPUEM
R5wMjdp8t6LkcljyafDTmyz3IcNtLCqnNuh4iM5+1AhxKxysZXusGmygQAKDhg0m7B40hcd6mq9b
3viM+nNSd4n1QzF3l3gEpMzPtjdqub5xYKsgOAJbFi+VPt30Rat/LfVm0skvk1XqbTocerAA0Crz
zNeJmXukpfgi3pbkR5zKrDJeV8A7hAfZep+1NZiJZzc+uUBag7qOURD1LuBE1Ln7eKmXEE+wfs7z
tB4BnznDgB+mK8GrFU2HQtMS2iNUxM8eG7uwXKkq0NjcawcM3DFdluySQgTI4mgPH6cM05JAQOIE
XeUkd527RqvLelY3sFYiP2zMqey2FoRVjTnp0ntbiQokJC4yuWjRCsfj2+Z7cj6n09g/Soz22bVt
zlrIuMM9p50OhQW3SZJCJ1D2pif6MQkif/bHQOp9qtA09cRlciXUS6TqCk2TP9LVmaP43hVW5Aey
VohBFR//mDpRcrFM8/xCW8Sw0YLOOlZGa9z6Tg60QDey0ti5vZPEAZOs5ll1c7eJ4zaTGNfG8qTJ
CqC9ZjOo3JTR4rFDm9wBZrPglqBviRgMDDZMJJq5soPG4aoP/aBasCEddxa+PkZ1oV8kcwg1ztpK
vXNQi2TJq9sVxDjGaX6QqWBKF1tOCA9vYJCcuLftIuYY3mAeh6bq69vcYc6sagoAvWyNW832J0q0
kqhCwQACD4rtfJ0a3whnHpprarClQYRVl0mOLwk/zq6ttOYSOXKmrnRgfG5zgqIwefjq7EoiA+VE
UFiWjCaaG5G3SX1cSDcSgW6hWWII7KVOFwylFJcovmlhB/SxPV4cDSo/AZSbs3c7yJhrtRije0/u
IYWUq+G0eSIREvsRFGE9VAmz4aADy08C5DxDm3co4ZBt1VHnX0JgSb6S3KTQdhdu7gaFp0rtckQ6
JGGWzPW11Lz0cqwYSjhRNX0CJOs0AUT1YasIWlTHOVbIi9FaV7TGC0dPDhDuMWj5uijwddLNAWO6
YiwPFNMuI/80vQFVYiybpEUfENRIh3iyI8+NIFSotA+7bIWjNBGkxssFJeFK2RRQVdC9WmFDBpCx
0SutW4JMY5J/41R6KgH+DqV7hWhhuqYpp+/ZFsPnZuKCQI9RCI45lz55obkpLcW6GHcARREO2Ab5
FWFZeNOLicZv3zM0YJqsy7tl7nkV+4P2RVv8imdKc+p549mZsq/7GofDjtc84oh4UPXLDElQBGAC
kodlwZ62F1HTVXv+I6GdvsZk/MBKpO4FQ4n6iN2DML20KExnX+iJOQE3iqyjhYHwddLEo42x89JK
bbncj7k5NocJSXRNiLWaQ6/RjAtLUustBAXdimrieYyEn0HujVnN7IEgwFy12X6ZLe+UaR5mW2/S
5vlyNqCuu5aslpAjIRTyIrklsQjkZMq1qncx4v0Qq5N1qzGRAN404GB0/My8qJ3K31pepgHjI/cH
TFQy081dRBrqVmFynXNCMD53rZt9ymimPlpdMX5Y2+3dtkPXzrMm5hFSNKDQ0nC0/thBBt4U1pDJ
LQkEcXfBHyDnx9Aw9gZ4VRqFD81bIEsLqdkEhynh2o0eZKoQYzgPToLg1AGYYztdjP0Ym+5BwyZe
byMkjMhLaxuQ6VVdNQPiApSHDwZs0KdxgpTMLQzrjKwyrg3kzIPjTe6tY2NSiftIhb2ZgJvyK1cH
EYsDGNxPhFNvnoBZRlJcF6WJSLvs3NK4mhjRXy394mR7r62tl7afX2jcjzi7iQgzQiONCm8DcrTH
eTsSIHZVNqVxvShD3jEezbpNzfsrvkVwH3VEjYtCLepQWjSSkWkCC42jUytZNa6xsBu7/+2n/pP9
1Apip5T+98P+HQiT9OtPBdo//s6fg379D34EemoyZcTKKWF79o8KzXP/YIPlrCNwExSJ5VK8/Tnv
h2Gi0xSgQNMt3cTd988Kbd2FQXWAGqIjHV69W/9NhfaX6siBXML8HxwKe339rYD7oTqKp1lfPAYN
+HwGIJfgihmN0Av0L+F6Mfd2bbofBBjAkaJb9jvbovFOVMYmDmw+Oy4b4weaS/FuN0efWizp6Mq9
gAaOs9wvdtGU9Tsx9ey0LLGIIzxRf9vp9beinty7vF/JdbY+XpXLQjZFXke/aT2tPrsfC8bvn2nd
r0L89Dkx73oysdA0uh6W3FfxUB31zt76Oo2wBRT5dSTZaiQuA5TCBn5foAg4D01KegoG2pB+VI2F
ufhW8JBe5x4TuGX6CN3ORErQN/eqGtKg6VOASHEynSpVXMMLL7/XPv82dOnXX4C5EMY6VIFsx3+u
eOma+6XyJk5qou7izm12wyTixwSH+aZh3Q2ZFOmb0nX6w1B35UklyydwdA+yc/y1PxRtZq8bt4le
+7f14tYPHtFEC/mAJ8vD8D01sQLKkGmhlfXFrkvb5jffwFgv+w9tse+X4IdvsHazfrgrp77gA9cK
xR8OsFPEW/XU07NG26yHPXu3wBrQAALP402IPm0dov/mLrB+eRdQ5qB69EwMlGvn7oeP4CnGnsoe
5B6bEyOFgYyhz4gib1w07QHJMV/ZGczP7OWSL7Lb9MMYbzJMQ9iuEnrOsdyZOkklHTXRytCbSkiN
Q7OhctD3qA1ZsLPY+KYqw9h3kXvvghKw9Yz0Gs1/JqSOifto65eabRSHpa4/waVg/siBYvEWaunD
HPxh2br5fnJ/jAV7V1etp5yUV2wohoMJxXjvXEZC6uYR4Ix9mxXPVYSkJStCbQEyj9Xf+t77+7e3
KAvb++tLg5UyEp4BP1h/15ORRU57G0j4nq7Lq5967OcMRIhiXvzfHOnd+vb9axHyYfqCPgZylJ8v
IzFdQ+NGNndSFz/kMMyes2JZWUZKOHjectIGdEfzTpHDFODvz+g7vuf3QwsUWvSxeQG8p0P1MTke
EcKW/UDZEfXezey2d1jhXgu3/8y66vym0/W+2fb9gDZ0K8NkVUf1+/N39UdNzmnKLctaX90NVndt
qsgKVYUUF7XGNz0qH+q0mMNYNd52EAAdRvZTIZOh33z1X95M0LnoIsCU+kuRng79aCcjz+/k1X2o
N6iEBK68QEvreGMn2evfn+n1WXy3XBDnQq+C7h6js/crNvtOIp6GmYtMhbhHchltlsFLLv/+KL88
vwavS+4kTi+ziZ/PbyaNuDZEI/c0JrqNN84JIR20IJyIeI1JWjydTPxCTbVIVqOYBNvRKLbzqF0s
C4Hqv/k0v3qGPOYULkNPjNPvrzbBV8hjGTvulSGSz43baTQ6cEudJbV0GUxO7TibeuAHMH+F8BKM
TotFGrAYUVnUcUyJJgazV2Ni4fc0+34AuRfb8uvff85ffExwujCDnXWL8ZcHsIH+0jcebltCYLpb
sn2cXa3c6CLrenZV/9x4/WIFo/30l7vAcHG1ktOIIe79CjZhtgUhnnN5kLZRvLvxTnbLlRpVvIlL
Q2OoVUJ5dHsTseCg/2ah+cX3hJ3DYIVFhhnu+7TshNpX2ZXT7p056naDWMatkC1hVpGd/veHgu0l
wBQjuvC897OcFIwp1Ey3RVIUwcy1lHu7VElJUe3ov7t8v1jEuHwMCUzbdN2/eAHNBVx9PXD5UrT3
YYTo/57AYVLadLkE+lzS164T9Zvl4xfn0me77BPU6Rj4id8t2nGsV72f2O1emSt4yWbamWalGdK0
+d2gEdLBX28bdho6rUtslHCN3q2aXg7sNMZ5Rvupw1LokCDRkdcspiUkuATrl9NJnEcTKplNa42T
tmv7bpi3WKetkmAZyuhtasWLf8SqUzyZRPYkYYexbgibAtMx+Pk2+UTSgnaVM3CUoJkKtKySNg0O
Ab6StVnt6qCvRnsydpOlW+riLWeNBEt32daYqzOGBInx4AwmhSLdLRsbvFHOzpbgn8R88SfSHr85
mSmY1TWm7iQXJDBaUdhhC0seZVEb6lhUtEL3Cc4wsdX0xjiVyzxreznko7y2S6bRV4LmWHTrSKOo
1um0NkEU7mQOskr4OU66fBQxGoJqjU1YedQ77O3FPU42kMpdpdUHo8urKFBxZ3YM19OnUhJsH8zo
/rIjGQUxwKmhrvOdyulbbctGVd1lNjKgQpcGIZagaDmhlJ1Hm/5FPapIv4DUEOlnwysbM2xKe91c
pURwfXLJuoE/iDWTATbIlXs8bBpRLr3M1M0UueN9lYoOj57W+u6dXpc4qojyi4cjm1j4st7spwB6
YlpUoomXZSNl5oMZ4BW1LaJK9uCKTEY9rbS9xyxpVwtgWVvIiMjbCTDm2dCFhlujA3Q82s1z1JjF
S6F5+l1fwXmIiAA/aGuCo9X6Z+jGq6xmNwPLuotcHzB2Em9zmnh71Jl4wf2cYdQwnqxRTfCv5Kcs
dzC4D3i1h2y2dqVlfRWgDLaMiVYpU+fuHTJvtr5Inb3wlxp8GIKGjC7XhST44LPbEy8uEBsHkHM/
La1Dup+1ZmTPKrDT4gnHMWACp72x4XZvDTIAb+BCLhuSQIwLryySK2vielAtEDeYRk/zYtl7WzNu
0xRjPCO96BhhGNzMWT6wqcBRUfCOCqV0l9u8mI9tL2icLMrml/ycGyDJJ9GdcK2a4aLn7Xbumetn
STRuyKUqLyYrCTFQeDdgJO5KLUH1OHnJDkwR+TMYJcLIhCmwsHW9i+Ki+QhlSr+sEhdwWw/QgKzO
7tXRWqL5+rEJvSEv9lha7GMHMD1wiWc9WnpqHqVyMYXM4wkLxi61G4N0b/VS6kP7UqXRwbXFfTqo
F3uOmP/pQIO7IXopiWDseAJBAY+Di6xHa6MQot8DaM/oJCMLR2pce6DEBMI13DiByDD+J9QNd2mn
jTdt3Hl3cmA2OFnyslcRzdN5jRHSqm8Swc7Bs/oU43BZHqrSG1+FREaiUiIXoUlB218USa5ttVg1
0z+9i6Ntnfo92b0erlOTm+e5RMwwh25LHcGrnEWCGNHpA26i/LqduMsyBbONttCRzFu11eq+xoiz
eKjH63o780Bso+8hrSDM40l+QPS9BrgqMxLEuS7S7D5ohrUjnZTQEA1pVbNHm15/mV0SuA9WXphD
WCKOGgNVM5S+1BCAolZ3vS4OCjXa2imqMZMGUd2mh67jTNEHrIoQjej4kBCqeWMWGTHlkLLT45Q5
3db20/bamEwk7CmtuICsKCRBqdQ/O3rEfpLE+wZgi15cNLz6vvTSix1IXHEN9txOLRxhEp3ImEev
PvmZpPpWxA0Hb6DHRXnzI82M8rVrOkTXqpTGxwoDW0iJZp9JKW0+oPeeQplIte/ZLz14ZDl9GCU/
RzEr2ta92Z4WpFmbdK7E0RSWfDbNN2sXRmAcUAN3Ar6B9iWJvfZL2wgA4LPWvritmR4ykKvFkWi8
fJcqXT5jpVXUh8T5hRBLyj4cllX0UpiajSgeF0PsOPYmY7t3HPBLhO4q3KAq9btdTt1UHsqm5s/3
aTw+tdEUL1uPDqUX+PEKg6KzDICupP9EsllSrPegNp1IfkvuAdhCinE7CPGS06k9gdLiK7pN7icX
sbnwUZ18fBrNeZiAXEfxOfVQWJPau1zV4BYvMcDzUwkt3Qs9de7H3rSXgO1de3IwJZ+zSTYfgRCZ
22ms7XPc8ahuq7pcdpgCcsSl8ypmgi9yLopmTa2AUH3mIWp5qLi6jk0uQg4q98yYqfncjXF3KxZ0
iTLlfKdZTiyaggHnJZxUgmzVhcatedvYXfPZXivMTeUsDfmvbZZCdbPTgz0TTuVow3xjdKI9NXA1
Lxe0tp971XQvgKhNvGNu+6U2YlyCy4A8EntDGZ1iuhH7we/lV3+S9lksLV7nsfbj8wyWt2G3DW/7
K7gfgZqPKZsFgofcpUhdGryWm3DyGXHjsmhbnFkJcmNvGCLAd7VOb9xQRBHbdfTYMOm6duyh/ujE
QCr7NRuI2f0SGcFIftlXewB2F/deS9S0HoWxNow4IPjywnfnRw9t5ccqjtKDtXI1G12LzwMuOFza
ns3+v8J5ehZWWxy7PIIy3pPUnIWQG6IT0wn+APA8D6bJVPRhttATDBaec9pYlXwm8Ey9MnOTX91Y
AF+IVHE0un69ywcC74MmM+37tExGUgb6wd2gGwbwiFjszus7TDBZ4txr/oKjoamm5KyckjgICSX5
pWiX+cZz5PCkI/m+S9fLbZIQdmlDNbxrxciBchSUvuvqZsAmIzkLyVnzskTd6LGmXvWlTsllWx03
VudFdybIuGOrJ0AYrYmfWC/5HRvp+ZE5k/y6TCNWwwWycrLVykS9umTjAt0nwWEdJRqyCwiUIijZ
0WrUgyJbSoYehEbciYQCI2gG2apjOTIa5btzJy3MElh6HcGdxpqVnGEu1AaS36W+0axM74JRFVxr
XXrMPB2rRrRGYORrjckVDI5eZpu2nNpXJN3Gk4ibKYTlZHyD2jog+DXn9pbVYnmtzazpNoToIsDu
Mnv4ZjLAtblmLvd+03BaHN7kcq9PudGBJzCIvzQL7c7vdVYz1yGcufHa2z6qmu3Qms11P6rmw0x4
263Re/EZLH/KTAu0Yyo965jJxO+26B2tY6XF/TNWqNVjonmSNb7O1/RCVXPyPMu9oiaOds0QMTin
Ye3SN+0thtiR5X1cYCddR9Ca9mNRjAeBTvjY8tq8tEB5EifsxumNI2SzawDePnbNyPwRaF4f1/wn
2TRNGI2N9dn2Y3snmgJhosAfYFozhtTRcvYG5yvQSVENwe/wHPZWqe6Msptv2IRMQSWy6Mks1vmR
Vt+jrr4iNo1xvK6n1DJdF6IkyK5b+j/6kIxINZuOwyIl0CdGL4lLPLJjLSmoz1S7muH8nitlR/dO
ZNZHfybQgkUXBIRR+X3Q4v872ml/GpUqwpRn80qPp+6SGM9V8Im8h60+W0DfnAJaqJ98m9lR7lbz
XU7M49exECdEqOi8lccvlmy3FUoFtALiYp4z8cx+W0dMM9ef/ak/137d7xI6y8cWz828AX7JDi+r
1TPa0PhOr5Jp587NwamLNvQx9MVBClXXm5ZP9P/KD3mJYZd3DieJkWnMQk+Fs3FRCSabLM/lMdd0
KxgjDWUCs+edHAb7IjHWMGXIKjeMmHSMgpm8H1rNYanz47tBcpDBjtybQUeFS2Ma8Y8biU9+6jtP
QCKKQ5q6T+CUSggPccI+kK1cUK7m2DqdkqvUo3FTG+Yxwor9OdGjaTd6mr7vGZiHXspIdxp5GGWT
9MGU0yqMlXIu2FyI50zY5BDM9Y7HiQW4zqhOY3Bx+D98/3XMB/N5boRx7Zf+4oRxKR4aAgg3M3vY
nc3adVFGsngybNe9VSNXyR7l3O5c9oVk43TxlkFd821BBmtucB6l1y1UjntS+uIUbWpFTEED7ioQ
hDFg0WJUxwAh+H/2zmRJbiTLsr/SUnuEAIp5URuDjT67+UA6NxCSTgKKeYYCX99HPSKzGc4oUrLX
tQhKSpI2YVA8fe/ec0MmgtEI7CwSTDw/Z2SBXiRo3tBoFyRTOwYGbQJgV1N8GKRR7rkV95JoBwo1
F9cPOOSb0nE1w6WmzHAm4tN8Eyp2MMhzYKK7zks7uOwXzNmxme5SMiY2ud25t2Xj1nWUziG0Oxgb
p2Wpp2udx1NRoxk5N5xXXTSJym6LzEan0mZrwX3XQR/ZFEbGbUQ2wnQdxkP2sRSOdwAkWPHIUTVP
rLWh0TBKQ92Fsd1eLTSzNUZ4kkR+dthewlmaZ5d4+C7z1TGehmgK+vwa4nx92VfI1nqnxs/BgAcQ
dD8Aq0fY78GesZQRfgxBtbLP+dzVsDJKAh2jtoHUmvlVCop4GqyPCh3rqRb+F2v1vsVd3X6iYi0+
FX1Zs2iRmOcXroE5bUx2gz+W94tHxVIsCOo3mKvXKFExnNjSVMdJlJO8MOx6draTb/a4E3JwOywa
Xn1rzAkz34pgo1uaKpDCRJCRqDQWBYtQjU/iU4nS5160QXkPWAxunlxYQLN0Hl6LXphfqj5LX9sY
u0ck0APcto3LuArBwgNKbzQEHRUP502yyWHITFAFLj/7VDQBT5RQNS88LencrYWFGzahIXki7Uk8
Uh+zMyWMxCEwSvWvZV4Pr/3Y00Tol7H8njs6zF1DmD6ZfWZ9yVOdJ1I7i7rrMdh8ImqUTbgTS5CJ
zRr3r+TAG4QJrVOIbT53q4eiVSwMfarmeu8nw1TvnXCmo0GwAJdHirUP52ZV1A+pN+YuNWYdf8Lf
zGvCRhXd1s/C3N06KC0ahErLkANA41vuMkAVaD4ZlfpsYhQfmkmn6i/lSjjIluz3iXyZucGzsad4
5Z1XA03JyZlpfm5TJ1yMA+5bSoAhNvhJbKbCqyw1HfJtwPWNURF7nCVj5VEXFWqMP03dhN4lGaVG
iycuSe3jyKeOrb1g73fs8NOfB9OdiKzZ4NK2gBf3JuNP31qJ7mQ/UR/s0E0iuyUJCYGRbgoA8qoe
XEuK6lDIjHYPhifJBjNX+bGx6ALditZV1n5wV/dy6Yb6wZ0zENeEG8OhneNWJ8/7Lv2QrjHz7LIv
p3w6lAskyWsoz9P3ibgebiXhNum1hxv0MV8mQex0VX0ordC/z/2whWneBOYjTOl+QRfqWPGtM/Kj
yfQB2EOr3eFbywrBG+0sVRnM/4iIiTgn3Lv0/tNlS1+GozgZA/9+xRnzKtm9yA1fNiR3e+q/yazP
sM+NXcsAI4RGcDBzKVRUABGk3uV0Au+h/3cxy97QnpCBis5NnSY7oZOhidIxWwGa3Uq341Z32HDz
EOb5FZWErEGqgspfRmJVa3GbTrYZtbqELAhCHvB5ifTJykyxa4vavPD6qjvOJUbFMgkUYN9cPq9r
Oj/NAtrvr5vIP7cedQAC4y9s1tgAtPzxx7Ff23IKJwQ9h3kU085f4D9ysostCdXl8f/jo0IGFiZ9
VYb57z6qsxkPWKU7HCBeyAPSmBk2PWm5dmC1vxkN/dOvYrjPpB2bv4dV/e+/arVU3qBBJhFVKaoZ
e2233TDA7FL+ePr1r/q5C++AqjNNuvDIFOAX/f2jtAMmL1wOYChR+02LuAfd6X1XOG2SKtZxVgBQ
yB7Bo2I69W/O3s+DIP3htP+1roJ25rvfORCNHdvNMBxw7XnkuasU47nT/mYQ9PPRdAVKCcJfHE+Q
6/fuU3r6Cf3UxuOBLDKvQy2hFwZXEe62y5qSq/rXR/TnFrwL2RqpK7paLpP3OD63nYSdWsN4IF9h
2BCm9o0hyPcgIfOM+Ce0dtlf0Sv/43j258PoCgGWlZklhIqfUD/cYNkc2PV4ADPi4tQL0Q2Y4e8S
HfVh+vvUjk9BkR8yMgmxB+jD/MOEnfBV3AFtPuJKnZaNbRhXAKRvFwvPkzJL9zczhX86ij9+2ruT
5jlm0iZuMR6CaSbhDn5CMkEIbVicCUCgfscD8+XXJ05oocX7Xxj4GCnQPoPqeBso/vALlzRHLzZz
21mpx9a7dornxBzB79QrWbR1ApeoPfvTEkRtwdbUw1Z6QZlwHJOuPkxjOO3o9NCDnP3mK+GFxmnx
HAjIOCkfVprfPDMSYAzt+puFyfqH82+bRE4jBcAR+NMVF/SEKtQDt5GcR0ej1mbknkq50w4vPTSi
nnZuE9QzApC82Qlipj9heVdA74Pmxh9WG8xZEtK0h8j260Pq/uNXY33WdzhidKH//odDmoWFl69u
MRzUkO5EnLpb2aVsfwJvQMuc9E9K2llkzh744JpI5QtVZd1VH/OYhc0EVWjSokenz/BcVuhIrIYM
two9dyWSBV+FYGjOI/2EyLzekiE9bGfEhBEjn/B5nKXxPExBDDBQtlHnGP7etgWTVfoOuBnUxZDD
ZERmgy0idsONKtgzOfnTiB/1JncWe7PYa77vIFoR96A3ccTDtkCgqYcpfBVYhitIFeYHA4PlATij
AVpo+Z4v9nkIICXCKiFN20uHW9652v/60P58g7CtQKrGXe+Env9+DqZ6ch3cWZ/0PoWKN6aRDMwT
SNpHpOP0DMbS+o9vST7RZbF2QZzq9ebv5zKkDx+Eaz6ggIlPVu9ohenXsHKuOrvCgxl6H3/9C39e
twMoVQHoHOA5iPHeic36JJzYwY0D3fCiwcusycv1jD1adMv21x/182UaEATpMWoLGZ/a79VDyegC
3ZtqnoLB5F7WRmud6nn0f3MA//FTHPRJ8N3AtL8/ZSXhY+XAYBKrd0efqfVD4zi2SXD36x9j/byO
8WsCOD3oFxmQvpca5NKgeG3QBill1Vt0O9neU2UC+LFiIhH3PiUFF77p28lFF3zoRHKonVz+uSz9
r2HwN4ZBHJsmZ/7fUoifHIOHb3WX/N0k+Ndr/p8GVXP7cOGYgrg8x6Yo+5cG1f0DSw73gs+KqqtD
/upfGlTuH/wIQ/rf/2Wbf3B54fhxeSAg1hT/keQUy8/fnot0o7EK8WYm032EBd67J38o6or0zaA4
kvP4gmJdbYaeLSL6rY+V4T10JNFXeiQXlNZHuk3WfvSXPRkjF4Me39FwFSd7xlDQ6+EeZCH3BCWi
OODva3A1MAQcprD7vsTUnNg1GFjoYaGhx4ao/cyz8TZK1ENFbNy0FAMp9zE0oN2Y+GdIhcHdvEp4
Dtj+q1nOvNuou/lti7JfiO2iB5nMG6N2Km+XHoZqo4edGVPPTo8/XbzT29qf/cha5vFRSOC4iR6Y
pnp06jBDxa/vHvoh+QD9XG6EHrT6euQ66OFrpsewph7IWl7PHEwPaemy7hymtiPT21GPcfGwMH9m
sluPFrldyBK2nR77Sj0AzvUo2NZD4aZo6d7oQXGnR8azHh7PDgMs2H+vgx4sO3rELPWwmX7TZ0Fz
T09QIfUykIaENzMJYHy4DlWy46wCRGKAXTLJHphoMwC7jfWIezRadWxsxqXKr61zqEfhgx6Kswru
y3C+X62hPOesMVeyCLpxQ3ZoDlRqLK67xk7mnQgmNoBEGH8caebfo6EkYas3hsiGto8HPZm6h9Y2
4gcCSdxLJ19oNxil2x2hALVsCBt509XF/DEO2cmyLQifVQkaB7fVyEytZiCZTmG562eSu1qknPf+
TIBwVcDxYcw2ucfBDpoXX2Y0DzJ/Kp4rQtsvwROEB1MU1o1TvTVjrALtQmI23RVzvGDbSNvi4IVY
wRgFMNrpRVNBi4wJbVhrs7pojZUGYhtUPmSEIp8NwtJLSSoWuagLWpS9mP3sky9o/WxxSFU7NFLx
cyborgR2XO5UKesHK6+tG9tT9aWjN+d0IrNPTROzWcfERzdB5qsFrcJQUElsdbe4EO5HoPEVMcWO
2oGq4/xh+zraw6xDcim2t10bOJ8hHhbPCxPIL93o2yfDxmIRJZiTj5Sf/Jt0UnccQCNCMyCBJaAe
fWSMR0k18JbIWZdxa1bJcieAgT27I1ltR7ef+PHtkixn4LN8x7I2aXB7I80/nLh5ZC+cB/xnvCFA
yrTdkXGJ7x0gEEiIsnlJuf8O0kP6RMHJMCJWsvc2PlEHz41VyZulpVCW7TodrNFuvrmKVn881s3t
2zfL2AsF+2m0ePtCCP8+WVOmN27nepEdp8G9o/TU0hjK74XuoVVuNT72mTNHtbcgl5P6h7/NEBCT
DU++IpO8IINDnNyJRWTLpmjZmSGQpWx2sk9vVxrQUT5tpbjAk7LQSpZqDsnQDOvbuQlpQdE3Y/zM
7OuZTpr4ACaZ7shQOv59B4PlVOexOlu027ZdR8NYJKPvHCGes+qNoCLITeOsCfKv9sVcDq9Y7uBf
mLV3i81/wbVniXNsZsF5bo1yl3JF4hwM3fhTKBhhzm6ZMvmLFW80BXyiv5BFXSSp8VCv1Ji4UeqH
NqFRXoO03L2drXIu6weZLH0Q9XlcDZFFzRvVWLYJ/HLcK6vVqAsC5dIJ3QNvPxJzHvmF4qpf+QN5
zkvANDYSbS2jPltv+iq9mdrlDgjH49TSRp3c+hNWSgLhCSYIg2sxjIxckrtUo7WLIT2WWffdncPL
0KZZPNCsrIR/Vr1NYzc9kDzynHQ9jjxTBVdAzljoYhebMsHYzVJHgajq88BzbNwIvYu1pOWdaUw9
9VZm3XgTa3huBZQvfkPoiU+tKcvlRqpwO6ts28f1hV358Z01GOrWUiLbB3WCkGYOvPTg1TnRduHk
4GkDhe0jxDtOE3DTIcCXtzU667VKSCZpxbe2murLNpXNZbaOPbDz0jqxqfnaWcOxCtx7HpNFlE+j
TcswiV+MRHzEQfd1GdnYr1Vf7osJOE+5VGy7SnvZMtOgwy86MUWN59UPo+04Eb649bWcXDppSKO0
AHLfDOqhysbmAhQXM5ohjVx35QRLz9qrdow32bzkeDqsJ2+hn0o/8ZSrpTyZpNweQfQRyRiMDb7x
XCdRj0wKQBbhhHtpzRExV1Wb8A1N/6LjwqeU9sytO8UvplW2EfF3m9FavttLc25k4H+TgvGkM7fm
J5956tbK88eB8vHzshj2jnsdej5ImMgcK7QhaBAuiMLFJTutK+uBPRXHBB8YfUXsyNHK4C+MH9qy
f02XId6ZVbDcoHObaZlhXB0iTXpfNtXajTvoLzAiLQ+H35zfc1l1O/Bi1p29Ls5uFmMFjWA0smMO
c22LbQz7qiWab8DI8h15g6elrMk7aJrPIzTjbRv04Tazpo9mTJShWfO0D2nzUnaPX2mEvbQpYeRL
Gz/NVkMnw86njcvoOaodRH+d4z7F7DUhr8EgzmSVfAwynsNVb28H9J1Xc8CsgiIheMW3Np192t9P
2PJ0DQH2GbGXt1zMQzwzLBb4LBEZZ0+ZP7Iv753yWw+Q9xujTDJpME3qbNAY5ZzBtMhz5n3e89qk
tHfLOpg3fpzV97aDUggADZWVrSXDTRfcNFMzf6rMpfg0C8u+8QiAj1wqrE2HNW1bcBexkg+SwX5a
uS00mjIIN57KkisgiLl10ZOMrjY4bQlgDQkECJK2NLklkufBU8atZ3UBscPMsjmJtamxfcZuyrPx
ync7hyumIjGhbt1GkJsw8xhUY31TE2t14SDBBKLmlqSbtvFziI3mzOhPZru1b6EvDmFlkAcRuCcq
hfxgmXW7k6oAxz67NQ7eTn2vSiFurTIZnuZOzscm9dsPXjugmGMt3NLuZezgz6CxnEZGSOFPeUkV
xoDfuDBrFrDGEu2xxkIQNd2QIcNZYiRJVsDXKlCoOsUXv4d80HfxfJt7hnndxTjPC7vuDq1AeT/O
eRxRM1wrBJN4iw6wVRhRBOtL1nV1s82qCW3h3HYgmnNrI1PYitC0CGXucueAP/xaSRCjxM/wGBgh
KLtFP92tOTVePtU9T64puF1mhJj4omekZLnxYoPMI7S2/zZDWN203jLsw8ZL9mMR66wrWHJdJ+WW
DGducVoYWl5y5gla31Y+jP4mHBf83LP7bDfqgJsx2fb2+rB4tn+jpPZwBkF2wLxy8Oj+R4XV7eqp
Tr61CnrswCNvautiN8kM+oSp1AVUqD7CvxmfyA69kkl7dmIXpFwcZMDIPHUZZxiLUJ0YKfxJJu7n
MGd1tS79kZRK3VVNC6s55OWcJfe2l7Xgmcd+hu5FjhPBGaFBnsEzxnCTQURoJgsznLlY1ElR/65X
LqVKHmVJmbu7pc/whAYN1nBIQioDGTuNY70tPYksvk+mFLBfHiAS2Xh2XIsjT8MPjDnutZF9X1ah
nsaN80Psr+vOWtb+JsncGr6561wz8/nYrrbcrY13lmFtRNk6QPFGULYtQje7bf3G/dKreoF9WK1f
rN4arueSBCZpTd86uG+72RXTdTBN9hYgvHPhKHY/TFX6O2Zw4opZWHtOKFXofDENB2/1icFCvGkJ
j/w8DxiYJTIoLK5xfFEaEoRrZppR3uKlnyapIqCYKY9KjdQcHHkwg/AxNOCfurlzudoU2kxsXn0x
TxsHWOONZ+VRUTtfU5JakUvI8GJJVoK0yE2j6E+Ybn2BBzC8+gRVXM1z1VPH987RJuf81GXhg0kL
09y01DIGMsYhP8HOI5hwXZ3lykEYed8U5fqh6Mziuk/Lr2xAk3JXC2iNcET0+KyKoa9W6de2LHnq
G2356k+kaW3meBj2Y0XCR2eZ3Qvli7cTiELOQ0w+CzXQ2ZaZe0uQqybricK+MJ2w3frLyp0GN/PZ
G+fxsm3ILF3JQaG9twzFbQ6d1kVMbKdf0OriF44zqfYa3ZfzHNTpy2wNa+qAIgxeAcqwcEyJa52R
gQQfSGcGNGyXQFFS9HEoJ2zHYMnHHByN5lwR3ILSktSm4DLW6suehZE0qvUktTKz0RpN+Jv5jUzQ
bcIlJsjzTczpEqCF3iebaybQNZdQQlGSvQk/K60BZZCl9aDA4d/koVTPWi2q/tSO2lpHygBv+p5q
bamvVaYdmq6jQniaawVqr7WoCB6u8g68W5OgU/VKc7pLtHYVvAYiA61nXbWy1dUaV6KyCPTSule+
2BMbv3jrh2m9NzLUscWbUPatlfG/XZ/fdH2w+Oo+3P/c9bmpuyH9PxFSiEJWWGX+zJU8vf73f/31
0r+aP4RHYA7yfAhRb0AnPRT7V/PH+cMWFqMP3CTaz6T7Qv9q/nh/6JYfhoRA94Q1B+rfzSD7D/4p
KRCC6TddJRwV/wEiyjfftWWd0HIEcCY9bg1wO/v239vAfq5YbAoUIAoWOfBGYhJ8JMcJzQcxdUTl
oOgG8xGYfuqdkIGzZ6pEFQawRnuUe2L2MrW3V1XmO55gSUuKUW3NnYa4lCZUIxuZhHTZvMR0FcDZ
WTcMw53T4IyIPRaRtS9Fg75ikhYbrTkDBrN5E48RfhVchcgCX2BwNC+NucbdbsogoWxm8BpXBDs4
n+E8WzdlWBpVRJS9523GWgTNQTCb6cAwGfolbOVLsoQlO+V2YIyAEVpQd+ntMbJldU6UGz5TdKhz
l6HxpbpiNM+T1+9uCavNa8jiXR1ceKHfv/YBu/CiKmlcWGllRLCBC2oULfBYCoUOIh9DfkYTOqBM
hEg6kqxt6xEUvfvZF0rv6I3xyC7KflpntCYVdcqxt02kPR4y6JtEtPx+AHD0IbyCt25b2WADD7Me
t2a49q8ZlQPSDgcqp+yL5sWOgVdtaADzzxz6w5dl7bqfl4TX0YHgC7jWzLedCz7NtBPxmMUaMDLa
HuJ1L1T8aifnM4PcxlWNOCwm691dJ7aVJqWoI+nCpX56Q12TXQGdtJiHSXWdxXLC/Rvmp0r6vMY3
9PHEfAVGo1QlHRWua/6fP09oQdpGt00YST+LUZ/haUG6ySnt+48eQkZ1NcPFA9CSi6zcQrXN5b2B
spbZ4JLxLvA3+TPotfqHISLHZSYsg4wKZSCdmhcHqbZvoGY8tEPpTkeql9T80Hm9Y+95yBlseef1
exqPHAlzqsLnpZjPw9q7e9yZHvLEmMbPKvrs3p+A+GEPaPGrWaV4rBwuQI2G56pF24aMnMHpHnA8
77TGgj/9VDeDUn0RvXWAUk/z+/1h4moAisqZDe3Bt3fh4tqnAP+wc134+ENQsvVcfIZA3RNPOu/Q
nxue5nQpkp05NAgg6XnCiQkVJ7hGcSLY+Sa0Y/KsAVuJ9RG0UR4WBXgwLlEG7tyWVzX4Ief4hikx
MkbXOo2d7y3XkTZJqZsdOMlwCVVzyRUTW2P/qpTDR1aggxPiSLlOFq2Aor+EMtge7FPpYrgPLK1y
GlpTHkJMsDs4mvKwTFNI/LfVvHTgU5/fLmFsQBzfvK8va32zE0DVvMTepM6zPXJIZgZ9d4o22l25
CppqqLHzPUPQ8BkqHgduqBub7Oki4IIZoa1eFuiBuQL0LTEWSN2Re3HwFtC2h9Zk4ZCWbF9Wv+uO
7GAAnnijZz06cx0/G5k5wRdHCUb8R4shtOh8bk6vXsLdKgJEH6lLsTXLkp9jSuf0J2mkJbmN+8E0
ucAMm5u8zyeOT9w5NOAEm+7F1FE1NPXtk5/W4dVcF+jYW49TCIOJS6JG2U4HDDR1gAKxT+27rJ0S
n/ZEv7CesunZmkXjHz23M/dmQVvRbYE8kVJvdOBhc36vrUii26+oytIdKbzcYUCp+EIEAKhzKeo5
PS+9aq5pboW7N+2bvXAv5yHLc8DkkmaSVfA+b5LfPAcdkQ0sGaYZW4+D24wcwdJR54YLnRZ4mrcv
uRm3x9Dqk0M8pOLRRz9/4+WAVvdBmnXrQx+GrnNUI0ukTcwp3KucK8oI0bSxRTWsR8R2a3OR1D7q
SbuioX5BHhotChMF7+iIfI2mmbNUSDSpvRQszQj0uaawHHGBL97Kae36wv1sziF3uMKc/9iOi/WY
uQDSt4DBbMLEYLPDBO7pltUVV+kMWxpolNdaNxIE/mNZWnwflMRUZVOorxyftvFy4WB4benuoblL
cgTrMnW5urVMm+lh+NxBtM0unWbsjqPl40N8u+Yd4fAic+A3003T1z96Uvj4cgqfXReS8M429bKH
pKEd7ifMIQq4dM/61vUDssfU1tdjqFt5TRuEz5DwOZF/LmlZj2lw2/gzl5Ib05UHyti3aHOYi3a7
xjKsO8fj7ipggmTsYjm8dqH2b3dcOQXO81wNikSC1u3S/dvKWtep5UGGDtpnSwIBfJ6TZMk/uLPN
OlE4epWyphmvSDq4n8OCLmk2tuW9lY4iAgf+WqUqPHWNxvoELQKczULyBQRrCL038wqiakMYG3dw
UAeNtVFpWlnprVjS5cjyY5fz1kpGSgjUqxUCfEQW4WWJNAcLhR/D6+p6GRb3a0bOnikLP4ggMyfP
PEq7YzW4JaeoMrlrclKib2ruyQ7ZYSUxBcwCwI7ddt5rXZXPdWJ1F2GsqOo3UDYUdYjdPQonODHO
5+j2XlU8Ym9sLnnGBHdk5cG3jLvJ3pMIJJGJW8MNc3ga4iPBPFOQpE/Sb100sVX8qQUihK+qverN
0I26wacjQXzCDNzLKo35OAxMvdKxuURmibLzzkzp1KBe+VDRdWmavt0bnh/eNc60yUr/HAv4IB8W
rwBgidibwI6TxQiCVRVbH4ny3na1zRFjpdmUW8bZK0FI/eDCU2qdLGpqUR4tqwVzJ50miAwnt/d5
JUAW+QSjmKOaL9wsZZJDwN5C5lTVpMt+8RAzwvQyJH74fiRyUPhpeDkAc7kNIN9d4LPkMScVUZnK
IG+7nK0nx5qgoQM9vmUTFFz4NLq2heVQlKRBvUsCOgDgNRXYo9wfLxEOEBVoJyjUIT6pzwX+0qfF
L5+czG+Lq4IG9T3ZwEQ0DP0cRHiGwn3AkOw7Sd7hlzSAUYnPVMDbxJrUur7cBt3S7YGNEHU5tdN2
YRaxK4NGpZHjEKs52n12HeDDXa45Xt5rNgQVHiYiRcEUm7tEzk9hCDo9Jyvk4MfzpylWkcs46Qsg
6+WcunSarIJQQDv3s40Y3O6eDWZK+VN5dLtK9RVy36ORATaziKa8DmS63pOp4kY1GmYM84ZziMPJ
v2pC6eyStn9swY1ltOeojHZ92dbXeMFZovKS+mRGRJhQN1yMZWddiL4zjm5YI+kPR+eqtlcz4qBV
NOBa90F5dY23rg12CI7zTcaKpYdU+R1Zr1ufqtNYc+uWhwCNVWeq9klgeKeis5f7BDOsXdnVURh9
dyCEkJp1wQOjknA8kuqDDFkuxktP7OMW60p4vWbu/SixcRObYp7zLgsQwBfDk1DCuFpKZpUbI/B5
HfNV78swFSF1iRDrxaCqFsj1UH/MNI2aQHCE21zfIn/UTqGjTyPzxvRaM+LJ6zO4dRgYu8s+q/Py
NDP5/mzk5Ufsd6i0Lb8oo6nr+j1pcE6NQWHGVbGirkOUSqecLn7E4p/g7yx4ELEPPk2V+9qkibMT
xNZEVmMWerWyTkvW2Z/jzmzabVz36iMV8Y7quqMSlGa1pUee74YWbHncsqKw8nflTtbA+Qy64kez
JzQN/92y7cWycNIKa74iTde3Ng2DuHBkIQk6jt3g0pqb88KCw150C7U4jqnsLOm4MnACDFgc/bWf
iJzLVYIlRLS4Ki2MMwQgoDtO47UjIsmOGZukBgtTJ71jQJLJs5H3IuCxFwtvI0cL0zoJk8Tetzvf
62pSrrgvJEPD54ZZz2klCGgTduTYrUDMdmMKGSbMfLn3SLd8mhMVcInbZY25SmI1mAQLaSnDr2Fo
J1e0g2/Saeg/GGk4XpZdcO3lVR/x8IofylGYONh7TTBk70LIbtsu8kPvNaN5KnOPoQDymVWMtDaz
kERee2xnelAGlVPCxi2+jYdwppqdyLRTLojeFzqzLOoxXRPa8ca8kMECvq9bSanLCJpiWFI4aJYT
hMszbAjXHO2XIC156oqRgUYUSJRre0JD3fKyNTUVgFx3WjKmWw4g2jqBNcodqUHTDgYklWxPIeJN
Ds8mYEjFcmGiID8vYrYeqUWLqGxndUfECfXZDzv+f0BevKcUsXfGreNASPACyzPfQqB/lMP5E43l
smvTI91dHpjImSBKkww1d77SzMy+eqB3GjinBTEc2xu77vOLyRHTeXQm8F7pNIfPprlQvBMMxGPa
GqiqDUlNh2KdagK4IyVArJvPnd56VqGJyB8FPpu33O/UeE3gFpaHtxpZloDvxlVvSqqlUec0lngG
pgyHn36sfJYVmPEKT1ieY/1qKMh+fTjEOw2bPhy+QKdCTCUdjfA9cie1jFYuk28c7NTllIgaLsZF
MOrKq1J8e65D5O2oDYyHSqzs5RQek89yIRjsQYXImR4Sm5QpprVYezM0mZxtR/Cn8rEW7952q7Zo
+H1zh5/nijZiIo91woY8kn4zYRSaGAiuS8mnM0tiL+mh3+9x9Njl669/7HscDT8WOxL/EX5sQgJ5
r/6awkQatoGKBqE/uv5wUWMfpV7eUOq4IWOaCjHyzlN9+7lEMnFuBzoMbcoOXNaqO5dV+5vD/57m
9nY1msyPMA/4gOve610NVwseeNofu8yg2PMMj5YsjaRnZv9Ub4GhN62zQKMBOQjj8MSuACol+UEW
8Q3MivtG75zYjvz6UNHG+lGHy/ciHBVdP30m4dNt0n//g2gUa2chwa5lx7gOuXrLurbVh9VhKvvR
Wda13TtlSNFeV1ioPKxl1Ki//gL/cK4Qplv6i+CI5FtoJd8P32BOPatexZAcXRXioMdKkjB+Ca1Y
3FhEL+BVSuIGxopMk8uhiddqByA7vkmqAaerOaJAqXM2X7/+Vv9wWEJbi/XZ3XrOT4rPyh7jOs0w
/1XYZg7YgxShw7Jm6zbRQ4oGKdggjCVkzS188+bl15/+RsT5QR2tDwYf7+n/2Kn+xP7DW5UTnLNy
TJaCjkFmtQtGOpjJJXMynLmuwWYTHfpj7sfGydK71MohfOpyctpG3DIWnXIYNPmQpMdBN5qaNqmy
76iv2OpXZGH/ebj+txP9m060ZfOM+eHc/qQ/PBJsLOWPHei/XvJXB9pyHUIF4IL7eDPwgv2QdclD
6w8chKzWLNmuRof/uwMtxB84HsCQQ/SCuAXc698daIv8AvY/2hLBwsffWP9JB5rAzB+XB1jmdLkd
tDrCg6aEFeedHBENb0FtmogH1h/tZV/LftlMFp3yaC14YDQO4IFUFt3XxocFkaa5cWbMvRwqx4CG
XMjAjYpeQZIw42LeGp4VDaHRUNhPzUtvmrwPgxHQPMZUwy3vVJNvDHT+pzqFgkBnQrDd5uoWhqnL
BMATb2yDmtDgM0iB9RgmBKzwcBu/0SOjnANO5NwSP5feqoo0dAbvw/w5TJrls2+ni2S6z2GL0mRi
Ee6IANqjxWovXLIwv4wizT4PybzcGSRDbnE1Li9Lt3YRAQi5jzxrHb5NXWKhpKFHnuCDuU9S7x4t
jJSbGmfjk9Yf/i5xxRY/nwKNzuKsmib8Og1J/XF9LFe2WUbce/ga7PDk2qO7a4SiKglrZaDEoHFO
4IEowzsSxQQhaLq1S11au5HMTXRMbM12vu9iy17HCeCxm94IsEOvlswNNsduf04XJHLsybLr0R2A
/QVaU4a4KziQcQois7fr2yDonobChs/ZzFd+MotHkYoD29fXrCVK74eb5B+Kt/Dv1QrXnYMimjOB
t8d0HMw2f//RDWSvJDab6sGpy/jF0mc/IbTuoyUcdWf4ZncaM7sjG3Uedk6KjgE2+bDue+aa12pU
5pcmtzgMoTurW/Z7+cVc2+5DvPC/WmY630RTW5f0d+fblI3Rlc1e9M4N4mdkgQJ7FqK9vJoniPeF
eZSkcRzo/hmHHF/9Vhd1u9UsuabtwZwuzdV+rbzxau6EdRzG2D0uAS0mxN/2FkR3vlPuLHaQ51Pc
m8xTwuzCcer5q0xJKCsGe/7aMDk8+UvRHbvBmjZxijSimcb9IKkZuSnzG38yuJl6dOO5/WriOARj
ENNC3+YZw+CA4XAk0b+MWyn7FmwJuCZz7VDMSXSCfoWRnn2i1/5f9s6rOW4kzaJ/aKFI2AReC+Wr
WPSiyBcERUrwNuF//R5w1LuStrcV8z4PY6JnSJYBEp+599wVFWxylUeLOdnNjKcJZtk3N2PHRKGO
aozcZELMMbnq2yJSas+oOT5lbSuuArBGN26h91c2O/N2ZRAOl2/qaE72E72/589WaNxpcTteq1bn
AzUW+eXszvvBXu5NLaVpB97wZEWq/upR7Jwtq/H8JZ/x8s/Xzm9nFv46l7gFpl2mTsNjEOH767Vj
QP8LQirdu6gV8y3chmKn6Qo95zi460Z2ns/Dl2unKec3IDrgrVryQX2YptE7XfR4qRwDXnQr6idZ
WxWjwkzsarf6MkJ1Wtedkz/mNb8l7RtGU0lPhnfGd38uA5ztggnyRtnhuEEnZdyNAqXKSjJb8adO
m65APcY+x9W07dlMLgdqmaIWq1p9Y7easYnRdvM7x368NGk5335ctlUCpYZwzemqIfH3rFfkWZOX
Jr64Wq6ePJh3T5Qp9QU5Kzm4OdCfiPDtIv5aiHRXl43GSmn0SL81uw4k1jSTA566EZkAoka0+c8f
/4dV5KfahY9/MeNJ4TrkVKGJX27tn+u5WldIThpgI01FfH2r07ZPTa3dJ7PHO9AT0gWcWmkPyRST
cmmPlVddjQ0Tzp3LgBaRGPcg8sSsDo5u2levae/g6PJYzhPWTdTyMwJK3syiPj6QO6D9wezzd2+A
apiXtdReEjTRr2+gmFNFjgV694yx92ZMdJIxqjDc1k6AF10VnDPB0rWyWeaIKSJb2zguccYiEPZJ
H5wA7EpjcjBP5as5Sv3sDOANIgMMyLbO3OAhkzUVWMR60v1T2frbwnj58EkSkWxJDekxwfzttaNl
jpvZGuy7srOBvjAwC75zNTMJauAmfdbneL5KRkXwp+yLXQvzgA1DUTgHt4r7IyQ4tneoYw+ZPYAS
kLX20Do5qAicemgt6q64nl0VnxHCjDdD7mV4ztWgvvc8JviKYuurCobuwLLBBV7GMOamA5JV7GQv
iXxLYMSMi/S2hfDzZMC22muu5h4VNNgN0QXONlMMFypCJ56BT827ZliC9ABubeZCFq7fGsb4TQ8V
55WRW8QRkEOnb2azYvZRpl91lNwsdIqa7NeqOoC4D54Lya1OTTDefNx6gaeF7yTbRv3GSfmHHUrO
4zw2xh1CHkTbeWL2PgLG6F1UhBMkIgqeufL6b1aWLyfI8tEwijwC/Z6vLHKP2OLknHwkvTIrM/L0
QVTGTBJR7cRfZJ68mSXwBcbE4yEdDAIWFomqZiFYgiKg1jbS4EsCrqH4w4VAkchV+sttCECYmgHq
Kw0t5eBvZQNndd6xHKsJZNaZlZODjJfk42zOhhFxHuRF/8d6dI7CLaVY9erAR8OQwJm0CXN1iLRa
rslzzqCvIBYFBibi1O/BYBB3GBZEN6ChxCcoxddpENkjx3/71UB29q0jd1Bbe46dS0hhLjsdor+z
KwIw7E0uxcR1YBUmHC8zC7JtphP8ABMkZ46FhmdNwJw8wL96RPmtg4AENZb5msFys3a0WzR5E/yx
TnTvLHU4ItOC+VwJwWXUZ8De3LV7mcVLybl8r2AT2idSCva2liLvH4143njm9KRXVbGGOGQSGzlF
ORHo3BBs6LhYE0NZPtF78g2Cb75u+j49lnju97OXkVmCCK/ezQgYyytjDCxoEV0afeY5EH8mDBVq
8lwNpgu3JU+eFGJ3to1p7YT7iLoFi7/JaQBEooreNaLs77R+WAocCCJH4Y48qlTurBvwduHKjLp2
gxMgF7xdXIerrFxwG2po+O9Bywh7NUVgSH2XZbq1pDUWD2HYqkMAGc1azXpifo3MAAR7iEctPWn4
2il/PAbULb3sZkYV+DXPSs7Vts7BBXKyMwAvZv0c2kN6nLgQEKIPWDI0ayKm1Yar/oVuHf78JLr5
FqZiwKBVJggVqC337RIlslJqnr8bTuoewDBpG2LcmBy4SIzZ7zfzsLFYTPuucuIIfigaq6FZJiJx
TZW5GmEutx78+JVdBYIZ65x9lxI9QFkzBLEpW5EUQAZCxJrmFynz6MbI5eDzMEBPp7xpvv14nP2n
s/1DZ7uMPuhE/n+N1edvTV4W7c+t7Y+f+UtcpX9i1PUjOgFH29K//hBXSfOTxXMK4jFIdfGvrveH
uMqyP/EPDMNdplFoqZbghx9OO8v4RMur0xtQVugCd+y/09ouY6Wfzkd6Z9A8kNFMhnI00YuN8Ocy
xdWJfWIgbu9d8rtXeQREJwlr8w/n8K/9M30L4Xq8x6WR9hA8/E5zDzrcDmYZEmGbFEBAejq8lTsG
WDxaLEQ5gPRDNtfLgA0U9B+mSMv39fNb/PjjmPYILeRjw8T421sEnYPsKXW9fYjjJt3KRgFQG3X+
7kKfS3SjfA29vCJ4qojNtZqn+NuosYHaOI1jrrNGx0zXoRLA45Kx5IU92KXA1JSbILxIMmJQ26mp
NioM56tOyeAud+jxf7qo/qYT/Ns3IUEh6LbHEN/4HQUi8O6ZeTt7e6oJYzNaBOPlGqi0WA7TY20K
SEF6ioRHy0k70MWH7ICmB7XbEsIF4YZoIwNtl3Jd5EUM8zwPDGXvptmBaK6U5SeriDzuWuRGM2BO
LWfK/8/v4bei7ON7oHrhWcwMRVJV/nqpIXTqOpZp3p6gLsyIgkxzIn0mKKx/or0ze/o/3zgtM0xx
xIk2OSi//iUbMXle6fylng3wHi0OX54DbrBpzfpW2LSJ//zOfruJPt4ZfjMQ2FzidFrLFfhTrW/o
qihyLePvhRDMOVGQMHfhn2bUf/P5YdEl3I4BsWuYvyeheA3HRUaY/L4xGD8j9f2OoZJWWLkP//x2
PqbdPx0Ky/sBKMLK4COZ4P8cCuROGPjQHHdvzDp7PUlGZeRxzUwTX9yUmzAv4VUozJNtege71T1X
QBfW1sJjjLpiPuW2Xd8209IYOL2tVpUeo5/pdSZVeGyDY5kB5YT0Pz2iOSomn40z8uEwGRhdfQAO
x8oyNrjN470yHPU0OJBG//lNmu5vESLWMlTRofWzD2LG7Nm/dWiBEWTgM5txPyQYiHI2YxCoA3WA
1phuS1aflDjld4hV2tpOaXm4eJN9lifdtterdptWTXOp0nhAEFaQH0102JNOlN/F9ibrRQ55/mQD
M20g1N7rXk4/Swy67je0Tw+GSL1tRIzwugUp+hiF6P8JM5t2abjVkz584ThL905rg0QF9LTvY4oP
w/GwvVWBgZnJAelYeJNf2jGWPsPSd5QN7kMT2MkhQWm9LvQaBh6usbeIB4+fqzQ8WNXcX1dskRf7
lLTOuVtnuz5wmKT1BqUe2iIfaVrJYJ8cg33alOnnFmdAVhdEDueTdm171fQ+TayY8fa1mzBtzZ0d
WIlaJU5EEGpaOWtNztatHZniARBm/iQJLP9eIZEfV6nw2GN7xNFTvZRIM0qK8S8SLdha5gYyUM/L
DgnEO5RqnnPtZKm7bt248FZmHg/XXVvUX4tkUV/VakM0XeJHQfpNSzX3SisybW2FcbjRZHPMmUoR
P6jXm9TwDmOvFZcyqNCnjQVQubBptBW53ztRJefl8wQDAqHO9FyN7MEBP0BuPttoJBGrRsQNIrY9
E8E2PWpZSjKAnov5oncaArypjxhp8XzxifA2d0bpuYdutszXJnDUTcLnVBxawYykloolhcU4qeKK
6DHpARkzX8u6KbdpZKCrq0Y3Xy25d484sDu/TMeBrwavJGaQcE9ywTaKzFsjyDvEHFV/aFGMQYdG
EL1qIuPdbPjOG0evbqcmu4oZbvpsvyGrhRmJhEHKRDhvO78R4oixhQo0JG828cYQH2B4FYTOSzRO
Yh8x5LoL9HnaJI3DXCwloq8o1gzFEmLoMU236MC2ZtPoZ1xA5BPZqbcqoWGByyN4tktQh7U9fhM4
ExFHFNF7el4sUTbleNLc0NulCjDnpLm4GZEC8WLGYEtApuVHqYnOhE36sgvtB7nmMQT9OHQdQn2G
xYoUOsauUUo72VjEzq2GTawZ7ekVhrBANqKky04ZMgEjkaS6xl7NN4SBpj5Nk24domLM9roZi70s
uV0cbSpxknq1MafdxhgMXLgygujbRoQbiaR4a0DZf0lQn747Uk1fzL4Zjrnr9oe0hwXEtss6N0Kr
kPPi3rID0R86nftLm8AFQXMnIG4lEql01MdAXOq1XjsohkSYr0ZtHh8tMDNbUxjRQaRhtbGw0fjJ
hPcS9UK80526OMcLTrEQMIhszBvnpOiwIsbOWB89yHC41rsJgyF+mVqJdBsk/fS9b5uhvIgpzNZB
RVEw95NYNaUB7NegtYlDnhw6HpuVITBwip6RLO+4OUoHWdmAdmNtRGI6YQVUTzPjjmuDG/UyxYIA
5DRAH4LGquy/6UkzrMkknclnTJq3SKIrcUrQnVHcFmfo/8gaBPUFTVVEbikj5A9yMPF0YuUAlubV
oV9enKAQ3EbhpHcQWOsvSWKCMxcz6w2NulCzq2mXEclzGKw63QIM6j5D788YdxFCMmuR2GcJCrAE
rAMmIsovJyuZY3gWr2syq4sZzcFRKthpKIzZdxDakq4TYvw2XtPzzlP2I55AFviBTa7bmWxU2wqv
Z1kFCgYQE2Df8DL1hGzf9rvG5JWgnhe7vm95S6xxwLuacqZxTBN7Y5JIca1zMPiYc+Nd1RrzXqCR
9z3ZBUdqFZsgSgfkmZs1Ryh+7kpnGfOdGrj/HKMZ2ZhYm47JhKsX2qBlYFbM611QaPapxdx3N/EH
WLRmPHnnQKK7tqfIfkGDAkI9gPlzJySb/SANu7tGIPJpZKR/Ea59UqlOYjWWu51KjHlYUS+aJ3uE
m1pzKOhNZ156s7a2VVSPCGoMx++zJNqWGOKRsHYPekA+2dC20P/Swd4gXrrBwkiia8oGaddU/RTt
+Phl+tZYbh2dG/RmIDknu12hzMIp2OaNWDcmWqyzF+Q2jItxUkhAWMhHl3Ewxnw+fDze/9Ow/qFh
RT6wiC7+/4b18P4alT+3qz9+4q9NrK5/EnSltGuWKRw60/9pV8mKZ99KUjttCJs4ytO/mlWPKMJl
L0dJCK2JkdD/NqtLtjPiI/awywCO9e2/06zSJvxa2YvlNxA8QbYhcgC8R7/1EKke1J0tA+cCR1I7
hEEx1qdCTvgiNRdIugyZrOapCYFCeE52P8eV7X0F1PctQtR1b8nUtH29NB9Igx+fUqnFJ9uUIzxJ
SusA8rjDUxgLi1euEUJP7R0437CGzzAM9aMo6kAjHDTOzPyUerHiGMiShLTeyIOjwEx7CxirOOTB
xLQO4bKfT3q4RmZurSEn2dsoZl69Qbh3m1Ze26wSMQTnDA/5WXVGu5ucvj4iHBveqbpfLIRk75an
xHM2lJJaJa5empz4aQzPDpBw9cozn/OHaAbIA9JoCEqeonHP+Wxt+aK0S8G+FOy47LeRcFkY+I3H
UqjxZdXpeb+1VYb3z4iH5FqLIuOpR61kdWZFzOhY+SqOBPL9BZPQ1cW6b8VTZsfe42iPEztllImV
4T2No+tsejH5gdnntyxo673VNcalyXNWkxBKfJHE8TknV/tgO1F85WnZq9fWcBeIfdrYUOhPdZ56
u6zU+q8KGcdhCuxFQqxn3/IsZuKduPq3ZdNSMytrSAI24m9dZzQbKMLjF1t3h2IVxlQ0deWGfk34
7othdETlySTisymf8jh/qjX+dFFXaEGioSdpTeOwNotyA4JK+nYl8wJnS0HlkQFK0Fdm7OX3ch4h
RMJNrg7LFflIYeJs4U9DzwVLk+7Bm9SYavDJ8Op76hUNU+5OsBud1hVo8W7lpHp4Z6V6ekMlOF8H
QyT8aAY2GeE7gmsgRpu/Qsos8xlrZyVoN9nfmvH94KjsbBN+c45wVF/BRQOnFQXDzdDUzbZQanxr
XSsrVqz/Wr9Lteq7RzhNx5CS0iaXyXDGtx3vR7Khz23gwvkZnSF8j4yMRMoKDji0yCJkrFHJk85K
tlzFrRQX6D88nxuPzrwpDFH4NfL+VeiC3jfHiYRLyLgGiRJpjYFUIP40wojw48gghUIjFXtV5oZ3
6vOcurWtLKx3PHOarTeM57jmRcnaqY4MWNRjiFk2XxFIHH0vAfpsXJfuWUIZOje29u7MNuC9KEqY
Q1CbrswGhf1qnGncTbIktjIR3hOUmnTVN/JUBZCQqMwiqCW2+No7erY1AHq8pXUws9UgFNt3+gjf
QYMzGLbG8MUrLRN5QyBJtnODbdeS0+AX6TCdSjKTW5804/LoOulQrXO2JJuJWKUbaVvlhs4E8L9D
0mQ7mqTFYC25y2Bg7mjNu8+kU5Tk3xRooZOA6a1EgXfSKjDndu65ue96vCWnxJLNYs9TJGzSi81N
P20oHRM818G0iQd3fuzHesSzUevbyBbQjb2Jr6S1gqvILZobx6GcxJDxgHTBuaNg3DeFOV8PGA6I
FpZHlKfxAG7KGA9xkOP4H5zyBjW0ttEHXY0rt3Kn+xTX01WuehQMRp28AJavEaZA9OiGZji4UxwF
h0J48n5MasNHHU7idyWuMKPD1SiHWwq25jwlVeJzeIqL6vi6Yf9EfpHHJodC7a1DcxCHudbfAXA5
l8qqi4Oh98YhVx2CYoY0OGgqA6lLEO4aUI3rIK7Qw1YTCVGG2d5DXpi+5aKq/FmTE7UmLns51Tma
FR20DCuQyNdjO93JbqQyDjjIhTG3pzjqxsciE9a2roqQHUbvXImx0BhYcBB5JKuuAyIGns1ySRgn
VcrXxowIWaudNCAqtvPMQ3DeW56nUerS04xDhEvNsbrvSaCVFwsN8Z2qUfFUxIoylBev4ZyHm1rP
srVR9j0IUaWx6mO79MwerD03eXanQCUdI4/WlAaqOhE60N7MBWgAHCLzjdBj71pFTbrsBYN5Y4VO
s8st8BLY1t21St0es1lkfQsX3Msgx7cOvI6fcmZm1HxDxGTB1s6RBhylrOzhqSK+ysf3Nt+BGPVg
FpXOM5GH3BumUyFeR7GN9GW8KpCUc2CFAyig2HpJsx68vKzjix4UxW4Wpf465KEFfGl+hCkQ+MYw
GXu7d6p8JbTAvo9jfcQfMrsHNqF3OCYOVA8sshpTdzapmPiCC8P21jLubweUsU/aaJN8SBg90vIi
ukkyNRUrrQ6HzyJ0aG7MWh5DjL4uJ2jg7Tk3Mbi14qykZt7Nc3eDpJbZRkayD/krqW9z7bFGN/Il
QmjFLcGezdMJ95jD6EBXf5eClAKggUV2ZZrEb1tF6GItcTrMCm22IbQn94UbnGGVprvSUR2ro4Ru
ciYEYqiYsnJDRdsuZ4EXth32jDEjnsoNchZEDcf3EAyvUSyqndYL5zT3Sr7hIsi+NqrSLrZqbpWZ
2/eEkD2KyYLz6QU1NARTHppWm3duJ7vFY9I/qjzqjraTvyZz0h6ihHzCOo0X0CvgrG7OCDUatVAd
caZ10N5C606FRXkzswBcE5NkY+lJbgm8MJ6JJxkotXHxspgM+ic9jrV9Nvc2A484ORqxTXWfYBwz
SG9wrM+jNlgrQarXJi5M2vewzx6QoVY77FL1NYEC2LhURbxTHXxzIYf5YJ1o8JWH0xkcyV4hHj9H
ljWcKjsNvyAcx9Wm+nJdzaRLWI49fycI7iFimuAjepb3acBLaPW09Xl908pJzKueU3VTRfoLuega
WDCLeKCqPDPynEjWGHFn69ZjVqdQ00jR2Vha0+/ihrjheEyDl6abxp01xs0L6AK4Fh4C9bI3+oMc
mNjRM70MOucK7Z6+DTEGkDGfs5SLXrXOBmU2Qa2VbjIfPW9ayTTMTmN7kqVj4aIs8/5Cfx4u2byk
JgiZPSaaU9xTVKWnonZ51Ns6G7x4SN3kerGU7uCwVhd62m3umNXORf9yReIPAXmjre1Q1OZbERnh
WbI63DRG0u1DfIjgewi2usEjOh4iK4PFhDB9TYdtg+QbXpTOWUsWk13thkGfryvQcH5qY+Ap56bY
2jjNXjs3cBeFLKlAQaocG596WBcrBygau4B5fCvSqHpBF+sLytzXPPSCNS/kO4aZepsALyn9qdCa
w6SE6+dJqu3RsKSOL+s0T1a6lRZXeKyAtKWWsxn6nO25ZoXvJKUYEP3ngUeaA8ydJQZGzzS5pu5l
+yCyLeNk/GBBxRN0CPTjzDkA/IhqM2JMuw9MTXx3iexctXS/q66FdVY6bbjBgIjddOpwymfprU2W
GIYuMcGDCdTCAzRgyfNVv0AcDffMkoKNLLpKrWCTIShSyN0Bmal1PWSAqWoZyC91JPB66dh/yJ0T
t7LigYQ9O0wu+tDqb2Mls2tiDzkQeoN1T5Aa26CYiUa8Z2HVJbCAezcq32IcRiAR8yLz8gc5YnGz
joHtxumpHV2vfMDtxqdG9MKoaUhCCipl5hQkqjEmy3TZ+wWA/DURZqlcT8x/11obJMtYaRq/VURj
vQ/gEFbUCPYXfqZ80Ujq2k5GXx2gC40NNkmyw4Vy42PXu/VVXfH/LpVTPpvceWaKV42/SJ6kB9Wk
gxuzi4EUl9hhxgLhh9Cvynh0Dw65KdzBbB4vsnMe5gj/SQ0K793KKhWsZjlXJzDFwwY8WHPX5CwG
EydvQM5V+a0YmEYwIp9wE0dDt7cyhpGcBtOaqo+hqkUJYwxqEUnEDLObzNqQvGGcRKHI/hBIN2Nb
wNZF57K2HdYKOPT5eyKtShjNvfWkCHlArBFXUKuUrhmrWmSpL/jkMGqjqI2zdnoe7OA6THDjrETm
jfeQ9cJ1n+A29dtuFlfY4A0/aZVi/MDIaaVs1+lIe6iQffEUxnsC8IxYENQeK1UV+XHMk+QhdLP2
uaX0pGdS/YWVWHif27NiTcaHHeRRstM8huQ4OHJQyAGuYYbZI2qarhLYvlR9HwS5aNcx8vldB23v
gJqquGtDj5jAWq8/N1GDjLNySRUsw89BLsXZMhBpwHUT2h4HCTJjnDSMEntxkqwn71kUqGIdBFUh
r4jasG6LqH6Vc8MwuZpHrILMw2bfJZMw9uM5tAY+kMC5TrMpe0oYdT+6yRDsEA3qISI83djRCrWP
UF2G957kPr8ig4awibBa84qKbdIk3IQI0uZVwyIC0FdNehOrtNpYA9UevmJPJ2um1FjvNOU43dTS
TaN1gTXurgmZkIp6RuNERpWxUa6mbwxJACp4zfgQzXNyJv05PuRAPy6ksdDAjg4Xk9C+Zm45sxAB
/7RydFYAi2Ww3Ag7nZ5Sjgrm7/0g/DmRM6PWEvQYcfS71uizu2Kpk8yZ6wrtV7vSa0EwPAsZv6Ly
RTjolfuCeS7hRWw36D+XQla3m7NtUlzHhVgySWYgplM9yMWamOT1l7Id3PxaTxNlEh3o0IzVOk8B
gt3Q8/gdSzA8voxE5ndtKsRwo3sg4xzoFfzCXpueWgzg48M8aNAgV1pLw9vedEKht9t0HYspvMtm
Mw4nPpLGJcgwrCM4lEovgbf9V271KrJgDF7mcNwFmqwfICmMn38a//zNaln/bTnPYhyxKHtSeFGo
6+1Fyf/z9rKqRwgYpj5cgOvba9zy0Uo3er6R/KAROhuEL0Zu7vrEOJqpvdWsZmtH+saVwVXVIfIs
2w1vdefNCTF6/+bO+F+vjVUxXi02x0j5fn1tud7XhQiM4VJVzUVW1IrBPu7/JJX9bai0fABghjHe
AHkS8vcPwE7akaa3Hy6xAbqefzlati1k+S9F5X9Gkn8cSbrgoP9pJFm8x6+/AooQvSw/82Mo6Vqf
JOq9j6B4RpOS0eNffCL3EwwyWO2mKV2kJcZPU0n9k7Q9yRZb2lw+qGj+Zyppyk+S/2H5MQ9IEVf+
vzOV5EL59QIiA2OBHS28apPJGmv4X6/SzlBRPAN6WWLJxjX5idmrnaC+JgVLGGThwpqEHqEmNNYd
Qjc/DdFJOwQvXc1OYI2+TszFhqSn/l0ymruegbG+eCIh9Sz0UgLE+Kl8PZZBC15uLl5yG6G8IEzi
uokHB65035hXzAzRcOMnpKxVXuaAyHXvJRE7d1gw+2vRv+ZlwxpQRSx1oV0+l2ncayyIMhSmqajG
V+aB+Uh0g4YuUQPDE6xHjzMVeT+hApvKqdOvkZbyoDWbHNPmxDR/gwMlhg1aj3BaMq+7WijW5pb4
npl6szFciP2lK00fz0ZCJrKbmLsa4QmjuSiIzmYie3dDOnkMrLnIHJMxUlq+VZhsnktU65dOTVi2
zUydQk8Nb/Q4xTMSXJKKoCJMJwru+naqkvAVE4ZBArhRklvPfr7LKzbZKKzH2B0uM7FvN5zyJXRq
d6yRC+aDJOgmTi+umY+3JCvM22pq15MqD8jsCO0jdMTviw5/gTXtBiOWNzBt4QEkZv42qowR4Zi7
N46tU4+1SXtvTshYY6XUBv28uQ/mSmdlrtGr2C1UlWSau5M7DnFwmNlIHvs5I8JJhKQWUgTV8uyK
3Cj8Rpuyz2ZedfeEajAf7nRibUnf1r/EMg2+tBqNQTXY5P4VnnYeZhCFWBmcVQmz1B/GYD7Pod49
ZelU1f4S23wegqY+UWL33z3GeoSET62WrlVGb9VbRbapGGclOCw9mgTm//1Vpo2NvvJI7nqtPxh+
pNzZuzDOeaQZbFpfEqSd2RJTVVertDbDm8L1Cn2PvCS+i6rUfDLCPL71Zpu/hrWluddZOG+7OrJO
upH0Ag52Ge01swW8NwG3NNq+Zr+t93dhlBOlDsHoWSvC5miK3PvGKEo2W0cwgGBZNrjxZqhr785L
nHlgJhCW2pckNJ2byMI5zGINSPvKU3P6ZlWl6a06VsubUMz52sPRw3gYaSjfYwqGVUU3ckzUldKn
6CjRI3sbvRyYzQaFxRxsCvM1l2v54Jq1WHJpS/ifNf+7XobWFQSUrtzwmK8uCQ+KmEiPnLv8y1jo
iUVEXuh5Fh/PSIkEZLePBf9RFnrYtivUVlPiMAyCmZSdC8FcCh8JJPMZkCQj1qAn9PBuGnpzOkZ2
lOzrwbnR3YQNriVn3zSJUCTgzrsfUWD3GzV22XMQ0LTqWdBna9mxM/DTyiiZwyn7vusgI62mWG/9
1ppq6KyxuFhVPp5bBvI7GA42ogcFZjjFvuwFfbpxTSZ5DffLXaCY8q5i1hyPYzCY+dnpWpHcyBjO
sLdGTtKJe2tWyO0zcj0L+2LotbYfuuazlUXDrYbojqj2xhwOZtMf+7Bwrkoe5Lu8TeFdjtm8q7p8
uq1L18DIBN0BIWLI6FFlt0NjMlgdktG34KJtA9PLNhLf3dpkgUoUI6CYOrrk0Fi6HH6LaONznxwp
oPlNplbvOhnUGy82nh2K1ZWdaMckMVBdIBzGW6b4NdoAmUZZnyN2YYeA3YKv87FsiQdR17Gwnr2u
Ctdw+BkjDL12lcx6QJfOaT114qnQ24ouAlZqOr03qj9B6sr8oBWnJDbayQdRBzZJRY+jCXSZlLPP
rpzkAWDIG+jaDBOtcSemxgOaSeKP2Vw7Q5LctHXxhcKXtmk6SbDrW1BC931s5vDKZOsPYmLkNqT9
2iiyHg3JWIG2iGBwMkfL6BRUTR5g5FzVzFaPjalObRKE24mEkZ1h9myh1MR40TKkWEsYescmlFbM
26vmZ5oLdeWNg7V1Bqx9XEYnh2/7LMIGQYXWFXeCfO2dZhfaYp3haqL4vkxNkMCzKbFruWSl39bT
5N1RgtMIMKLLblNtHEidbd5lGYljGof6ac69eqMpymrCnEd9OWbBksN2m8IHCalyjT2UXJ3RZj9P
3jnJ1uF0IQudkXCvN48z223gJEzRDC++tRut5pYAy4E6XV3yJs19Rq35fZ8Fwa1NNvmKfRQg11JM
ayK5Tl4ghnVKWtZrNgavkRL1rQHg6MYYvfEUN8q8c8j1vicNL/db0zkqVkMAQbl0Ek082QqFiK3x
b1EykvHj8EqNVL4NY6/uXHTs/tyN0xaLpLftBpl9x6FdXNB6q27GGddaaP2bTlkXzhjtnLSxpKeN
8vqOHIFsXZMReDIl0BQ7MKqdN6rozcoy7i2G78rHC33HRZhdvFJkN6SL0iAVjtzEzqzYL4obCe15
3RoJnq7ZNG8ytLhrrZuqa3vQX+y+cZhPa+k9RnZwTq00nlpa9K0ajFTnyohAn1AXOD774mI7xQYi
KXvJz60aVhi94x1tNUxgyePx4LQ8Isd0dg5apjv6+qP4+0+d/Mc6meShf6yTy+H11839xw/8KJI9
8ekD9/CXXPxHhew5nxhS0iqjJPek8WHU/mtvb36yKRPBBJsuxD13yY37S2ROnAsYKBwzbPOX/CXn
36qQTZzYPytyhUf4kGU6qFY9YUjzg1Lyk0J2ytu2L2RMinKdowRLFIHnqZHejShy3nM8/geIvZYk
I8AOQ87UIL2YZt48J4mjOGil0m70UELcjaqpv7HMNvicztzepzoex7cIckN4KGuT3Mug4Pz3iSiF
Za0H3iYYM/kZJcpw2zWVyaxiyjPizBM3e+/7yT73ded+jiBvN0SpNqz/W1c3JmYgjABxpR4ij4kF
o/Vs89/sncly3EjWpV+lrfcow+QY2qw3MUeQwZkSpQ2MpETMswNw+NP3B2ZmmUTVr7TsdW2yKi2l
QAABOPzee853MgyjDHWrUGB3Kx3vG8CV4ntl+scY6OMVarrxs0xb9y6PjEFvhrGJ3iQ4tevYGM85
reYKgFeafdGR0z67eDM/q7gl4HLukzeiNZDukGGNKKpT/k3D4JUt/+wgI8RFedY+OlJGKi6B2qVh
3NYV4VErfyzjq9GwyYtzG4YDcR8AD8Is6V5i4s5JOWPBIGRsos2tm7g6FF7Ub2HxJ1+s2SGEwAnK
YN/7wiGbFdX6/WwlyTU7hqOoCZ87pBOEI1CAwUmQo7k3a9U4G4268r5MYvTAsFMKfzXjviHxlRha
cuSZ3CN5cOvw27yo0NeYgH2m3sU4XPAekGs7ytHPR3m2pedG8Lxd16DOWxVeLGYfXtS8ymApN8GV
y36dF//oD3ejX7aHGOvNgczpniokCuQ6TPHsQO7ymvu2mOTJ8gNjXZMbewvCg1gEo6mKa4uWr0lQ
q86uMY7WoLmZszwVAykA3uDK4AJhKs2eREMm5H3uh2w7vUiS/zxl24JU0WvGYx3hymmLxcsD5ORO
inE5Dk15klnpQOhKVHwTyOat51OGgyl1m24MckDeCAgu3BVhPdDZUlfL16pj23HAhlh8igaVHfHM
tlvsoBmkk8obnxtcHzfe1I2buqnELjSczqfkaJ2dVQNJWqnUmq617OPsU2vCyRxvtRGkgNQtjalp
71tjejfNfnLDGH62im/8uvjQ1gl2SK4tXjN64Ze4MueaiBkPFN1V3DOmLa2atporR5qpEx7I2bIf
44BjQNTfZIW+d3u4HwAzLKwEljVWh6iylsCHqFxVPKHrMbT90yzdfEeQb8nj7XRr/OHgQ/Np5VcW
ou6Q2XkPQ27dSivagYQDu+SjOSRTAwB17JQbhH4XtgzpTJuWD2LSvaNbcygmU1zqxo2wWnUmWsFq
Pniq5boPBG4jIXDnaFMFHXegW7XmlSHq2dv0/QB6rIuYDWVanuxyAWtlbMAcFU6XA4Htmwndyb4V
wyBRLej2wuvb4cQkprybrcqtVmntib2XVWiAwv5WJzyYOZJ74N+PYBZWHvTPb0FXu5vMQxVZp1n/
YAx2cYWt0F/3VQsRTwnrHnItq1bAnIC6hGhGExQx6Qj02LIphh1k06kch/yG4dCn0O2Kdax5sI3a
OWQyvvOYjxK5YmXriCyDdYaKXqyoP/EAaI+RZu4tV7ueHrCBJxtznMMj6lZN4KLHDNrO7DsYWf2G
5SnfUjSIIxqGcuuh1FKr2O2Hs2Cfum0VkuuZ/vZnp3Bd/Joi2yQ5+w7VJNRGg/Qf6LEMF83kFYpF
qmdNYZvCWpmKyHg1yUKmyZHH+trMeXrJr8hu9MjaiLA1ONSQGw6DEWaXk2XAao77WO0iW5OAiLZ1
PeESXzMgaK/KgWAfvyuDi7yzn2FukGQVQ3BXUQkqKWzlFrUCml2Hi3JL4DQtE+1UlIxxwdW2nYwH
lU1Y+JrCVuSaOyPJBqmSCpm4gZoWSP511ge0u028ymOVawoR29yaARbIzPWHXdcH5RPVSHCTyBgv
fMzP/5Sh3LLFwCA3V9U1fql0Mxex+YAqpwAX6MovvhW7936rqtsWeNJ2pvO8K5C/nEctg2Nmuj2R
NXQ2toiTCxbdJB3uU9dBYZL0zjMErvngOO10qey2OgNm66GvC+u670W+VpJ+Rl9O831slV6APshK
ryQK5EuQZeNlL2iImgn0SbDTOTOXgCWziK+tEFp2Ck8TlcuA0DQfA5+IMScmkBP7MLbJRJ8AvCa7
kpYRjc8iekyY3yX45kX/le0fae3aGNNLe8x7TBhRi+jUUi+oyPM1VmP94IwOUfdR5neEAqRA9/y2
f2SIb19qpEqXeqrJXSg8M+N+a5M74Q3WPfozm1CwrCEiraVMInYi+dy0TU/sigfZpK9pmrEwtQfe
6OoZ5mvx4CQubBPwFGrLzJz5j+1qIrgGeSI2+lYO5DVQnzuWlE9m6y2b25kSJjefZvLcqgN6mC79
DGVgySmStTfwJspN5rS6Tpj8gTgqtwNy683sjIrgKVPpb4EcvW2Uz5TBGMn9VYJaciQQY4pWcTIP
+8ksHyaFfTjNoe5yk0ZHfspiQwR3cessnSRR+achNhpsIV36h9vov/vjv9sf09FEjfo/S1svnqv+
uf9ph/zHX/lrh+xCrEdLh2JqSTC1LXapf+6SLdP+F1ZKm+0u3Vz3nRjw1y4Zjemfu2LHQ82KVpIx
k7Pg9BDH/gOuPU3oX3bFIS2wAB2MwNHleR/UrG0kgyKLlXdR2k2A1Jz0RcLorImHYz30kE9bhJ06
oiuUl04dXdXVzCu4E6ZB50BL7sr7AvGRUZ763mOOtMVY0LnRIYi4o+mbLtYrcKe6ucoTZLv+ruzG
0p2uJEHt2OBn22d3QLYRk/YduvrSuwSc1b/m8XRL+ocfrS3b8Ndu4vm7AjEUCYttjJFAz/dGoLFH
Yx1IicZAa2O2q0WlqPe21ZGkWCmrEOusNyki/Y6AuUPRBkN7gyI1v+/aKPzSF9qhaueliyWqG7Pm
wqu6hIbyHD4ZjufWHALe8lYBV0BKTzsfzsxclWjk0+A6byvvS0urlnFVPX1lWMwbh5p2hyWCuTDD
1aUrbqMHq53ECJBoYdTIdYm9CNXUV68X7ZPdO7SLrRoCJb6d10LNV4HZQb0dc4Ij+Ud0HgfPuU4F
nhEstNZWZk64VvQl+TNO2N5iZk3wXM+zuZET+VIrNuEhLp6hZkl0I29eTZYYF3ZaeTNAMf+Ehz06
2t087bX259uwt+cTL8alI52ycV1FLNiHpMjSb9wP4jbLUZQCTreNa4QzwV4JD7JDrSzaurJ6SLTP
FjwY6htesf56ZAbMfjiQ9tkVo/3ZgMVERA3G2+vajYdN2LBdLn3fX3IMNDwbMY+bdHCHLVD2YQsL
Ah0EiuGdM2HTg6Km0IJErf5qzGWzC9LC2DP81UcXr/0r7Wr/mKBIudegyK8Go60vayMeyr2rjfla
Ddojun6nRldigcfn+cf/0vdzx+RsiGW+vU7N8j18aAzdqjtlTR9PFUDufirqjS+jFpYnXQgaK6h8
GblOwBf0FhSFZb7+t+NQyVTOf7eihsQC/25FvazxTf0ym/vjb/01mwv+xUpIRjtNhPdGAWO7v1oP
LlYChqrM1zzLIbqD//Tnouo4/zIxtyPCB+0HomUhX/25yNp8IFxOlKVAi0zTCf/RIussE+IfvKwW
Dk+XtgOtEaaAPnXqz7M5aLbTQBhXdxRVRNBrlhnWnZm0mgyltNnVbRYgV2pgd/SGHz0A8kL8VFbR
yejS6NQzF6AnAbymhjy9xxE0ru3RKuhXBrnxEDRlv/GTRtBENWW4tmgLXlsVpKdsISGpJC4+uYDJ
ts1ClGG+EVHcuMhdyCocidikTLJis5sg0Bj6ULcU1kM1qL8Zb394y3AFFjgexiUbNQU+jA/z/YwS
fKxHSDBMdrCBE6K3j2dMibaUy3nxvX+4Rf6DoOCDT/n9eLzXyBbkbepbH83+cPZNFed5c5wM+D8q
Ll6WmmYhc/25E3pV/yf+zqoFMLWu/lc1lDd1Wsn+//7vD3PX5Ug+8TQ+b2QRWryTf/5tNZtC3ePv
p3nU9hs7y1BaAYXcYzxI75Fvufs5yaK7f3x6BFz4Ji9tkO0oJ34+aGbaDDwqXGiDl6BAN5b+ck/T
S2wGJVDw//OjCdAJ4GoDNBAfrexxGExpVWZodc1J5OeKhIUdagX6AEMRPvz+WNYHR/RyPVGVcRCg
cyEGoA9zbIXsMcFikh7bRBUU0EnEprZtyxr6ORSEBH/J9dANvH9A6hzQo8pmS/hq/4/PeaGX4Xkw
/cX54H/4WQur9+dycDKCeAlJ2ah+7okRjaKH0GuY3/z+pH+9hxB/vKM2BJ1OdoA//5xdGxaO7Lzs
2Fha39Yw6zbS4AluGGYm6CBTimG/Invxb47761Mi8NdbJM17xPJ4H8EbOWb3NPaa7FhN7UgaGL/m
5AzTtKpSFMa/P8cPx3IhV9IrCXH08/NakAR/Pkc3NSZrTML0mILqZ7YCV3XVmN18EeOLfPz9sT6s
t+/HAlDBpURO5Ip3pusPnd6slB6MQO4hPevJ2tSRX56K1Bn/nBL8j8/+h47yH8dhF76ArZfb1f75
nAav6DuvVilSbTFmGzRMnJQ7V9S2oyPukzTFN6uY2yKpQ+dHGGgZJ+ffn+uHe2f5DnTkWOgWqDQe
tw/3zjhbedqScXqMxp6NsQXlZBVrA0O1M5enOg7Ehn35/Dfr+a9YXECkLEGozRYQhLkIW34UbI2x
N9YYQBHSBZHzuUOReYK3PF817Ef3ndOQlIo7WsE9m1Xsr0GRzeNx8ir1jYZ1C6OU3vKJ3F7mmUvt
QLAQ/9CZcfv7q/Ofvqfgh2FvzO4Acc6Hy5MLJ5q0bxgH+HLeyzwPbochqEBGERXe5LExzhrax5nh
+1ujnvIzklukeA7hhEcQK+5FKMPoiITDuQoNr/d3uHjqjMD20B/3v/+uv961gcnVpLYT7Eh+qcTM
kPC9vphQJIYmSZB5HKic/NVebn9/nF+fRDRm/GSglAP++fHdmBpw9iKjT49g2PVtmC7kNPK7xAV7
dXH/+2N9XM65PQPET4H9Dj8Lwo9myTnoRe+qjOWcoNBNHETjkukzrBEOYBe3F46gwvJkDcr/Au8l
3qtayL+5sACJlifxhx3Y8jUcylxwvGwK+Dof3ipF1xg2T0Z08Acc5ke/sFlMZaic5hgPjb6l3DNf
xEKETFFVUws1SRbz//MOA0gJTJDMzegUAo+5ofEFE7Fvs6Zbt9gXMceQZ3Eukp6RDsrUO1040dvI
hP1TMBf6zESHzMqw7bylP5fTCMYNPXYmCy49NfuOgE/vnlAk8wCE3LpMKpCKG6yWBi6kSd/OceQM
q6JKxmsMzPK5iIhC16DtzxTnqKRCVUVvwANFc6rKli5lxczngMLH7XeZnyyoSR9PPe3c3DVXVUsa
XBJG1itbHudxYuTTrhRkdtwtANTeilG606bEV0ZgR5AlZ4QtJfm2LC1WN6YvQ8LiXfexeEP2Etjo
O9g2rqvIxPg4pWE84Cnw3P3kmmyGKl/13wIf8W2Vtf6XoJ264I5GMvcbT3+ck1cQcnjUGMZtYPes
nWY/+F808gMizsL47C9/txc1X2MW2C3adIJ951MGPoS1M595zxSf2naert8vb+SBoLWrxLxtnDYB
FKf9IjkCO/Ock22WyTmHsYTNBQxvs/XfV6vBmi86qVmhAksZX6saLv26NhXwtaKw9GFIG67djKge
YKBpJg+4O9zPQ2diYrRjs7pxcttfOrd8zpSkydmTKDbQQKQvnRniC426bo4RpgJvXtHxEfdIhZzH
oMJqvzJsrm0Jn/WliEt7Z9HJf87EkmzHQwPsJUpLfSsmABt4+zt1Q+iLuk5nqteN71rp18KTLE2M
4z9Zs+kWW2e5D0sivQgToLNP+Fcg041WFhsYq4TWRIYv95IPw+kcTzNm44jSC2d8P4KEFQYprLpk
nzMkPY3njBPoV2B9odr13GBbpCTNczJBM6pVwN1LHqvCg8/c8jBgdrtCiWA8eExVFlWZO59jo8hO
eVBsQ43ei6aQuiagod3JzLcO8YTjsoWCDoij7qDgJenRDLrqYorpBzFWSzee3Ztny6n0aWhN74Ak
M3qIpb+t3UUY5lX5eeZo6ygS/nWp/T05WzSCiK/em2lGVAZatxXeOEaGM5O4nCha01B6bVPzrS06
PbtQobBwuwpBP1fV/hSm43UakxmXWZBxEkZeDC1rvGAOowUDCRPRvuEKf292AgvTgQvJi808Lg7m
JWteCvdLB2TljPjsuluoKLRO1GacA5LziKnciTZ99CIIHHPf2BcFCkJzyOExyGra5yFR1LmG+Jxo
06NRQnByGiZ3fTK/hI393AxGv81IWN/MHpMhGznn0TCDp3aRd9AKaor1rOCORENjfy0d96SdAMiZ
nV4lXorcxPUexjG6qCs/fpK0z7aJO6tTUpQswO6yRyrt+cpLHeeMiqi9tdKiPxkjni6tvcvcb+cA
YEIJSyTESdfacf+d6V9zmK0ayy/RDlG7gjaSnazara1VZMT+5SAKvlBd4PFfjbOtH4UmZ1BNBcYx
OWLSZY7XXrNRcpPN5LFe5D7kSuil8SOyyel+rsn/wVCCqXpFOu98zjEqb6OSTqCbY0zPyrQjO9nD
qNSGJQdlF33uYvMuENN050/zvHX0AKuG9w8Tq7rBg5s2bXnTS0RsPk9acXQNerQrO69xps/sRfJA
8S6svH7t4S1mKaomhlQRbwQ/Dv1Dk1H60K7KNyXbvF2oTXc/TKPbrDvYJte9KT/5QOQ21oRA3G11
kK1jxKfZRoI4zXYis5mVNX2+q7Jc3BBN1e88f4g/yyyeLpxBbWQaTacMEy16PByTX8kkxAMjKrtP
1yPr5LEKu+TEoAYFnj0F/UGPJTdmxt6BEqEwbou587fl3GHpYGYEt2X8MrhV8CZdxbjTqyystqXw
P6tJh3pvitRASzYxd64H9mOgDA6N1uGVMlrvtsMUuYaI06wN2foHKugQDrVly1VjDd33xg6CbTNl
86mVztkvXfMcRvCl1mQqXJIGU7GFqXxUcEV4W0QtRObIiRyK/yxxaVN08FkIgl5bsghP/KioCQWS
BV7CDM4xsruvSpv9rY/i9Kjaqt8ENbaPwOMWYCSKnjCKxX7ykcl7zEq26DJdAun7+gbspoM8z8qO
UdbaC2M33TjluG5J5dyPQnBjh9WZxAci3svQvonbApR66zuXYYwgtGugNESitTZlMNV7ADPNrtB9
8DwQ475moWnXYz+lzjqQdYfVE8fVPhkrG63tZOH66iPi2kzlXA1mUF8Tx8q2P8T4SsKikVXbOTdq
F5nwWICVqfwvgjT2B04tvmDgFtSYa9ziOBvh/F1Sjl8i/xhohBtYt2Drjv0aPS/vdNIvu3VVj+KK
in3JHKelGo1WfSqsGVDpKJvzlJUFGg4hr4NeqYPT9gno6jA4lEp3xynAijxi4L6oidQ4ZwO9XTce
y5clXxrLbBO2n12kIDvPy/K3UJSYmRq/qY/I8OglwQn45PfN15KP3nZt7QKYERqzWh/p8dls3AwV
qdGDx2jwjfJyJSm+TSrsLRkqZNyWhNjX2ZZfPN3mpf06GSHmaWw0yC9Cp99WZPKd/XCoX3yrGjHQ
Z8YmCHkHtomj97Ng4A6MXd5Y5ti/ZF3Omg2VtMSFHHZ5LNeji1tQPAK+qvz+FXFSgLXUrVTylhgo
UCWZsCTwubKiTJLGG6GU1VmJxr5KJzE8GnE0vrhdGnyJh7CrVovUudgo7MWC1x7iHR/Ie1VWB8Nz
55NtZ2G8Lb0RWBWDUTMvMbEHIwLtrM2gGky5tWYXFV/N9uxvZNHS1bDbCH0LTEi+lVQHt8rMszul
BQqEiXcGknbS4Yth8Dx2l3WyRGi16mBFi8akQ5y9ka5ds5zNmMIInLJhIcAwP4pQ8Rqx6A5xXxbA
yeJek6YFkHUX5phkGl4Ke8ds5KnR6fDaUBtRYaD7q0AnvLVdkH6N7OVWpqNknhO/sYFS2ODpPNMh
RU7YzrNhNwZI2WG6jALkkqLSGTQTPla5Kny0iDtf2YPovkaNm7KdNAGP9ekjG2PivyMP6XXe3nnO
J0CVSJE0y2tURNxU5SdTVOQg45T2R6i8mV/pNXOrHb18zFQVg1pUDHCr2JzAE0nwB1UghwJqbOan
S7ygSl/ywk4qYv5sAo4TWfOqXAyZhr0bvOm7REa7p5Z3121nh7scTdo6L72T3ZfwWNIR/J4YdvDB
4jUzcmPjR9zOZqasi1mU+Ocs5Et8cFIPwd6e23xVlnOxxwmg7lsPCIA9BPE5q8Y3owEr12p4Ht44
2qeUxu62p5t1SokPInKQ9oCtRqQ8TTfsG8j4L7lEzUCNz1uHjdAJXbeLfyIlXnOSiGWkyi5zS+1z
DM8reEhqTVHtMe9R1xNMV4I2lHcQHT5YsxwDShNA+bjseUHU0Y2yenMlgcvtAtl/l51Rbxuj1tC9
CI0s2/BrNxvlrpsbj0gfegc6No9o7G9RsD2nnruryRtgnxJeIeU+lUb7ZSr19QCqmzn2I3EJZ5Zc
GkZM3y+8Tr8RIPsJ2Oudb1f7ht30Gljec2imjJvI0iPvFxSOMPu17pZxkGGJR4LDu61Z2y8qtNhY
EUGyCRL7WODh3YS2ucvIkVSJT7hk7L2WI25vu6SrjQaWiiCehuGzdvSrwsnn4fPbtQCnp/UczvFn
uOExzsEuyE9u1+B+mWckNakDfWw7tumTGlV/GGRCrOyjGYzDQxu0pKX16T2pjQmBfWEOaH0cngy7
C7YKq+JhpIa5HIbOOHQgKXjMZ/MknNR/8npw1WnZemASEoDtaevRHp2ypZwgel7ta5QnWzPt8oUG
7elLOQqj2yWlugNeH35DCjUbJ6MpaOis8rAPzL092pNzIYMSrAoSXWBkhd0tn2e3efaMYg864Azu
Uh5jNCQhSXDgIFd0NV1MvGaGdxtDMjqxnP3QwXcG37iS6GjSTW/UGSmGIU1Tr58oOQEJrbvBjr4E
cR4RTeTxAHJURgyg9ihEyBggfdkOasqimNt+2NQsL/SZlpkGirboy0Di4jYyWmqM2hYI0DWkft5x
n4I2ms8GsAoCMDA7yrn1zKvMEOm4lQsiuhx8lqWpz5w1vB2qE8g/4/dMEweSebN1aVq53llxB7U/
h84dlwZN7hgA1Z3VC4mso6MSifVovoDV8MRZJuNS8oaynteJaPrPLUidTVAYnrlvLAD07O35aKzz
Bt4JCvSNmGOiZ0ipvTExMn31CrIf047t38pNmhvRYWhCbnasmjhba175RzvveZH2TnRyEkFTgDHy
GX4CPYJlUvN+vLFxje1ce90x8sikoE5AuQjA/On9j0BhQXnvUfa/x4P4QuiDDSf/uS8lNZjqbLoE
gTNdTzDcNgbFJrMeXXn3Yc7FZLIsYAjJdvfeKAbzwxhF1cFmyOkbF2XaYCBMkxB3MF+xTKCHe1pW
e68U/ec6lZxAmvGJrCP6tqfxciPSwnoqB5NfvcrJc4km1R07UambHCja7h1yB6GQOJdmniXUHc7L
LemFN4Kyrx2TBh75nLV7tmrU9sNQ+N1mzKMpx95OV4TmJYsBdl9IRogGancU7TGPzLLk/gfcfxnW
cfNM8y/dm3lGRzHQF2HXAT+1ipCwA94d2CuqWNc7mU+TS3SqNK+ENYmLOoOu12tB8yrS+en9vjMI
BNiNGb+Ao3E2IF7Xt4nsUYWNGOH5fgmiWKOiu4Y+09W3xbBck2Jgymbxr/xW6qr2Ac17NCnXC73k
bFdWtUcAL1HRkzbgzxEayIIMk7omYtZzuQOku0Qch+PygUXm3cfEdG/DhOw4Zt708/0m2ChSdp8g
92vgUm539Kvlv9aSq2V5ihvWcvz5PPJB21l3oQAZYJhPCRwYbK0SQlXac98nBttrQO+g9t8bT5jS
ozdNttzFmBE242g+NFNG/UwrESYsr/PxUdoM7ENrik5jEtXPUUKIzxwlPDpGwiMMFZnZ5CSjU9RY
9XNODOIxbJXhYBgcCxPZURFZdxQHnGFle7S/ojjO2QFHxPGEVWpfUrd0n4mT4g+UGORPQ81lGnti
V6YckvP7A2v3efKNnLbmuQ1SDk0Q4HjCPh8dJS3XcjUERv+sZ5R4Jh052fL3wg6YAYvvyyD6kbAW
kCuNbF4rMwjR3hKK1I9ddDIlv46UEQ+74gmMhjmkY1GFe9mNAGJrjzxcWuDnpiSFopsE8gztaeui
wAJ5XTledBKFwzeXVD5iU7Ec7k1H0PxgLAq+erkLJrQxl6IRtBSQ9YC8CcAJrqZw4C7xtfkSmxmp
IxDPajISmhCedCeiTU11ihGR9TF0uVLYSIwHTUHw5kcNJxzK5R7sTEgYPoz9UxrbhJEEWDcOhr+k
BQU+ZV/gJeP3wKNOhtdgqaceasJXNQZL/AAb8o5WahNvE7YVvBnJp7m0+rG6SiY5PKTmFHxrRjd6
S2sVnkZBkCt8Lt5Mbjq1O1h1cBNwznXHMWyjL5m3BJX0uJ4iQnVpcG8Ikv8rlea/0rG/FTqQpPVD
9/yXgLozyaLff1KOLdlb/zYgewi/yLhzPcdmPsD9x/zgT5GDDy+RNjtdbvyR7Fvp+P8lHPP/5YqA
Rj+hZbwySNH5t8bBRf4gFiEaY+SQgQDyh38gJPs4VGCaQMHM5yx4fZweH+ZBMxEoDuQqFATRdg63
Yj4jb/zhavyHSfuvh0DkIcgbYJgDFMH6cAhGSMvmMNSHMXJWuQ5W4A4Is+CS/luu9/9xlOVb/DA7
RK+tlIA0fvCrr73xtVbfpfhn4gSGkj+fyIfZsp/WLqU7hyC3wzdvicJr9cvvz2L5iB/nHTjX3ykC
iFhg3dsfx9eeKmyACEF3mNwAAIZBUZM29W0JyxVqZfk3A5Zffpn3o4UWsytcOt7H2a4PkFEKqECH
uY7ZmzAeWKWlr7ZF3BSb35/YfzoUKgsckIJIq19CUs3eg/2jLE4sCeIHlbktyPbROpsSd8HvD/Vx
srpcQ7CcCHeYW3PEDz8T4BdzhknRHaquGi7zQi4AmQzOpNIKqrkq96iL5396b3BQGyu/g5JJMLb8
cFBBYLZtYOY9zDlXERwKDruO5kVk8I/fn9/H6fVyfjasAOR2qGTcj3EOuWM0ummM7lDORNOsighs
iNEG2TG3TYWeumtvmtkCmV7o5DwUSv3N8Zfn9eM9asNMYIocLEvTh+d5jt0mgTvdH4KSzEOv4gS9
dnr8/Ul+AIssCAeyELgxFzkHk0j758dZWbWcZQjYXcrW2vtTAt4m9p3oqrAhR+sZz8Y44Aiou7Lb
/f7Q/+n+gcUgUJixZlnLUv7jShIKV1mx7XSHbMpnWi+48HFwzhjMDBOfMSWmWM2JjLa/P6xlvmuO
fr6yMK1cTtbmpWBZH/VmfWHAI1ginoVRda81yo9py17A3lLS6oOIADKgIGXjVMCEdnpz2Kne4Seg
2bGf1TjtU3IFPtmJdiwwPn226aR/a4tyFBvKUKBunZfSGICn7Eg17ixS/u5T06bw8sshe5iXLrqf
+dlF741M1mr6hEGDlT3oQTFYIwks3RozRWJShFreJjf85AwSdMbMP9QrL+1qegkDlYBZ+BdmoD1G
w1h4Vgmw6bPZGh5bt2Jea5OZSGIInM9xOXCjKllsNPFMl0NY6sdU8q+EO8Fe8ttXj3AiZAYlsCej
HTe9r9GJ2v2lm9vyUVWzezuhWN4btKu3NVhbKhx8HsVguTu4h4igVWOdA5p7W8BvCsSvGu8cX/Ih
7AUvfU2yZ60De2bU0VvnCArHoaYvuI7rIbmFiz69hhKf+agdgGBehEHHHzOOl+rvU+VFT0mDiGsD
vVA/oksQDrZv63vXKSK+maDLN6MlCWCtskJ+gj8LaFR50r0dR5MPWi4wAq5zTYeOAB25kCdm4W0I
FpCX+O0cifcLJkeEJQA7HEwrurUkkQ1FZlxlsftd9oaLUkMO37IFC6/t7yEWwy/KxhfjDkb6JHOs
YubMzAfUPw9SNbnfl2I4XCVTqw9Zy4qRMddXdAy0/DSYfF6p+B6Z8vNTGYr+U7rc+uCv/IsyGBI2
41O0dURn7Yd+Wrw0YNTiyhk3Ydd0oNpogNQ2YPwVL5x4HUIc2wbEA1CDF0FMSqxrH+ijcABbe+u2
zeR+KsmryEQ23hPXONwTUM0fhp3FjYEx/LaIYZmAo8pPKFrwZBv1sB0RjVwHIZcTrKwVbUrGOBub
bdOVnMCkHjMmtITgoTleKQzt0XroKITcIYqZy6fm/YLDVysc/+KaCMRsn8SxubfcLnqJMDTierSN
6MqeQsZLecI0e+Va1QCWNXKv5wRc3RzP3hqbqHuam669bI2lr1Hq8eiFjXcTEZy+75vEufGtMr6c
XAGkq6U0IoYNcIAYTQav9B6PbSex3g8KYw+i+uhFIj5Yhc1Uy5VjDMa+ZhL85mZ58EZnW657rO8X
HVbdlyQ0rW08tC64DcBWW6OXIaOgcLkeEUaqjaXVt4IxbbbuR1VskxiZggWu4lDCtLks4th9oG2g
t9FMihMHE9Y+8KtuLyZ3egrsaPxakQNxa5atSYAIlrCNOygqejiczGgYcLxaOS7GFvbf1eCo6bmD
iXyuCK65JkLOeaD+Z5zc93SXVGuJi8mO5xuHRO1d3HTBTZZ21TMA+um2m0lFVVkirxRQ1EtLUUnj
KxQXeUMDxmoFOa6z9O6b2SHQA10YTAua9Gthkl+8ajGOkulmR/K206ZfreBf5P6q8jyxQfpT78Zo
Mt/c1JPlKinq5L7FLvBNaK8/WCOLEOThfs+tgW4BQA8cl6bfy3qC39E3ab9hQ+luB9NtLwpSZDJ6
yG3yoCn24hWQSz5TRIm3yULcDqgJ9IlvGz/YpLud5nxuLxgbzutCRGm7zkh4ASVQZuExoFjY1Vgf
EQPEpBEDDN9J2gjYh2Jj3yV5ijPSAzi3ZkBAhys05RbcQ3f8o6GUtMG8i3Clbf1oiLqtDbpuPRJl
BxcHSCNRlIG6qdgEvOCSkixjY35LPgSzrgzWtmQV+ArOTMO39P0Djv/xO/YIvbMRnF28t0umOiVU
M0Bf9dzntfUi/QqtQUHZ/taHiGPmHi4DekF6XUt3xa48gaWXtgiCMUKEtfCXBhhi5v/H3nksSY5k
WfZXWmaPFAAKuuiNUZg55+GxgXgwcIWCk6/vA++slghzH/fJmm0vqkQyJSNgABRK3rv33MajpUVK
FCdRxvArJcfbWEa0NGWXS9L2p6hKAbZfd5PJsV3kS009a5snsOrNhmMv/6lVC237mtz6Wskzm8i8
pSHEqdeKy8c+KYr9az4txbhwm8yGvtAWsAZWdDD0cTnnl92L54v24LmOl62iDnaiF2b6srxnTJ51
f+nTb6JQFWPtqw0/uXCysb8wNIh7KxrlY0Bo/WRCPiZNogaGAS7Q64sjJmTKAHA+225pj80BUcD8
YH0kPRE2o3NnjI3+5VWkkVhLUfZVyW0rj3zEYYk3mlXHZfGBhcdxJorDqKllvSaGqsRBzamNvHpP
YJYpXSqgXS7iH6/FoGwpVBW1Y5+FmHupT4AoNKsIYCuUeW/PQbQ+CKVlj4Of+HtJbvGdT+7j1ob9
QvuTomL0WjpeFrvGp/mppZRRB4dCrzCompQ+ndiYcvK1qCfrxSCAaCsVAxziVHacGdFr9Jt4Ki1d
/kxZww9IPpr7JnPmRwZSdO3EWnTVpp1PRAwdXMdCN57USu69WjhfWs6iLXwrE4L9INmKvxZ9zFAb
r4lXJD5T0/ufvQy1h4IwDYq3bWpsPM35+z1l7Rj+mnR+7GiJYadbyrikFKrdR9juriF60FTMTVwp
9pg8y67xbvyyH3ea3tlPopusp77WrKeUgJBLVipnF1extpmA3G4oK9I+CMPyYo60+rbEObM1a4xD
oKvGy9en3tqIckqS0K7MhdIiZcnC16RnsHyNVVXiopHdPKxLBuJuBB1y5tI+3UofJm8xtWKr4AhR
KdYtPmLXn44dJbSr0DOiA2ofOq6vY3n2DAR+muWxr/CssxluxqXbyHBLBzMCsgH2aEXJJ7vSq7Q4
ODSVvvhh2O/bEFUtNBUWQ322eP0zXoWsKecLo6L2HQ2+gE06Uc6zZ2OpSKJ2yiZykuNqOpiw0K/c
ep4BT9owOhC7TI86sj4bmDGO9hm3JPX2zD/PcZ2DlnLTK+gp2q4T1L2trqB9MBBXa7gDLYVajVeV
27B0u7HEXl6VVCXHuXBJiSFPIFl5RuxvWZv6g1+jUFiFVkPvuwWWuiaotrzvEKHuOiYc9kD0gs8M
y2yvKjoGdDycHkMEtdtpMNSxQj62Q+kPKhW+r3bfkMOKmbfo2TFbQBvyngaAHjV8mq0NtHN+lWV7
fUWzTy0JvobMH3W6LNtCUZQWfmJ8e9VBWQXaFmsYiGb1PWqnY1KKlWYtckEEI9sEYTgNbqR+dea6
R2ewpq1Hmh8eeFCrGM56NHKF7/QjbBREfCvZiPlGd+iEgkgjgmkd8g/3FvDqduVT1D3vWg2zNv/p
dSqguoHmqsKggQq1T3QxH1IvhEMPJnG5oys3HgnN8kmiJ5GYWNwuKe7MMau3yFbkdlaxtudsT1KE
sCfz6yQnD/a0rO6w3qKTzRLtjGb5dacmdwXKJV4PqfbTq7DBGZb8QjS5AXloCs+5jWyT6yUzpx01
9Y4M+2FbUoHdhyEtY8m+5AzdX40ytNLdLTvEmB41jO42nq5NypBrUMLFd1dq3yn3X40453bmOBTL
vq06eDEUG3dO7ocynte1p0UBs9WeB7EEEcI8jpDw0AL3vmgSwwsmOnKeyGcPN96wsD4EvUbda5HX
2ApcnKu4X6lsi12VCWEXcza9D1iTMo7IGo+IZUxyRN2l6DtsdGn8Nep6O8hwHC45jTBYoamXdwpL
DImzkV6hozPjszh11LWUmfqiRZlcsaoXz4g46cP3LuJQA4XcJvdUduj6aYaP7WdE6MZdoMUwaDdw
Oa1ry6vn6xQs+53Cr75F/OPS+h/rYuPMjrMdXSI2whosdg5pbddXGdU4PU+OUWpM9NZaAt/ruTgD
ESqCOcttv94MZSQGusPdmGVnjfzG9t54HjmOXxh+15JvZZIn0FcpNkqz7IbrcJ7KQzvRYEq1uNm1
Hmoos4CQT9tSoy9b17zFzRja36zYqoZ1D5LiyjLa9EbabbnrcEM9OzX7q9VoxObl5Pntc5bH7hEs
q3wKJ5forgqAyqO+rJCOUSi6XV4cjFJ2Z3HiWRdx0bRPshV2gDN9OIJr6c8AdGffWytFZRQbvNyy
a8Pr3lXFj6IB/kEgg/VCH7U0+USUezQwAZ7XLSdwB6sQfY5eWpx1G5yIk9ZaD0K6xRZpj0ELq+/j
y1Kbfma9630xS1ei55m9dRTl8xJgkq7TvphW7PFmuqgx+PRVB3Jq40w1M1map0GqCFNSjqvzellt
jxOnChTkYsab6W2iRs2bJinutZyWtGwpaDHLr6jZepBsaVlnhnqqRSo2mUNLB8GISxCWzc54X/pO
cV9mBUlkc24e6hrxBvv5AmmUQC6hvA6MbzNoRcBxydF+Ti2k2tUAg8HoHO+x1SDuce709pxihpWp
JeEDjZD2nEUxv2armL6Mhigf0iqrvqhOje5eaTb96SSskmzflwv/CWYbeHKySm8sYQxy/dqeyGoH
2mRXD+mxN7uf0eDRvqeyez76njwT7Gy/SwXnaYKqs3G07HIu+xz4sdDyfYvaECJDWp6TOA8MwK9U
e0khMLpM2QytUitPG7I67Aqtn4M0tYYwwff/A5IDQA7WNH/VufD+RdhCUi+b7jrDR0UwXx4/jnUj
WLjw0RqyCG8aJcpvlMG+kh44fEUQeTfD0bR2Li2XjUa3ZZ9WMzO70sSaTy2/w9k9tGukofWtredk
R4QOCr6403dz30NgZ8QHmlda+xi/8rmZgfBbQTfGpgrxKoD+Fn2j+0SgGjPhyhZahN5kdO856rCe
IE7+ukCYN4SMPVkjHHtdgUjmbzHxy1TtnZVYP9zcq696iloY2kJyTzJ0bzy3Kb3w/Zm4PvK2QHV5
3r6KUhDdms9DEaH75PaxdZ/0JKGkXcIHW/vxapDsqabY8Xe2Zu9bEZvXnEEemZCzq1HNzrFCXbpq
h9bZqlyGL6WfzeucnhhlQpFeOsAeJTIMTjEm9OVgxNG8jvpB3sq5idjhatSbi/bQelNxEyaac+1W
erRxUse8JDpD/DIieCJlOqht3SVwksHcXEl7jM9zO7PvLIWqERHzDMnomZhbGtZZsy+Ybre9Ato+
t6N+E4adA58FQwExoOV+6kV+1zLjrjpSPba+3+v7Ou/uow522+jqzlFE5bRvh/pr7Es3SEkQWNOh
HI9MpFoACro/ZyvnHgei5C+bqMrY/5byV9emfbLJW/VNoPt/bry2QwAEKDn7VuppqhNg04Vn3hCm
G6olA4OtMe87UxunNSxj279M8hoGeCkreOSiJhtjV0nKyGsvrlHWkJd4LwtfokCa/H2cLEYeSlj3
KKB/jiP6Yh0rM1IUUR/1efju2pwa7NwsyDqxOSRViIlm+NCHIvGNhWkUaGjSjnz/NiAV57FATLe2
QmBK7ArzDeWO742ZIOLANo3CifV1GoagG50XlyPImM7ndq3fsIdyqJxRJtI6z/hu+flwZpW22DoV
6eB6BpcoCo2g97XwV+wI+xokgHnTjP6varS0x4hP78E03Tre2E1JShHqvXDTeHB1NAJH9ro/knmY
kOuE8x90H36ETzxK7/VAhKWzQFPihj5G6+v3+qtofKd0E+qvbpXmR+KmHsC5EP7qcLr1XQr5H9dd
3+tMYBTGWwPFDBrvSaU5qivdQA/E5ZrWvq/Mas8JYNxWwJ8+abe8MdW8FrV9rJ9sw+m46KeV5Xn+
u6jtzN3wvXkt0k9h9wPOzLjSQMPil0Dv4niz/hKHy4mSRKF/o3oPudghy1rgQX3TPXBFO+MFqNHl
R9aNDVD1QkXUSf/5Q+UVLjVsncbnqbvWwpPSWQU9mNd2SA9KEnXxNEKKIi3140u9146wEA54lqA0
h0nxz+GSjZ3sp3ygs0SM2gbt3FfHK7/+/13jpLuT2JAI+FrrABE13OV6b3nFZ4635eX/Wfw36fph
OcdsZdnum8Hhp95Qm20dKBawi6jTzaMJtAPK8pB8iTVaLUiU9AVX028U2dQHDHyftXbefnok5GG5
QrOo+5xfTlo7lq2QD5Y+wDQDhFNbts4aHE51nmspyh/ly80/fa5cD/g2dHZCo93Tb69ib+VNmH6C
QgKyt5zpBiSp+8l88vYDF/TQQX9S3zERyp584H5ktFBF8yoANNStG0UsEp4C8lMoaH58O+9ciZuA
hm85Br4m92SY+E2SzNPklQFTG6olrTmDT32v6vTx4+u885oM14Jsz7ti5npliv/W6yY9KRN+7ZbB
nOjbOn/RCJdPM7kIro4fX8l822wUf1zqxIDHQdVZnBtYhXqf6p20ohUA7P9mEWPJ6uX8MMEF20NT
D+tNBRZvowNpeXbYt27b2Wy3KS2gvdlwli6I0QBHayH4sr1UHVsB9jwa4vkizNkMEvElEItSMmZz
1W5zEzj20e3z8XIoO8pYE77dNWftdDU4yfzJjS7ZlCefH61Mivs6H4CBd+VkbgZzpglfdjzTJm6f
/ELql0bv3ZLbkLwUcweSKSdQAkHVc43XfefCyaZx5RwcfEGJTXvGqFSGmPihIPpq3TpkmZXFrRq8
iznkdFmUWbVtEImvqgRiYlinAh0mnKtV3QPA01KtW49WaQU0uIZN2+LR4zrphnO8e55ZaBlSop/A
yZbxxo+G9exG4wZQNdFjXmRqbB7nRv/mLsKuj0fAO2ONeclAwcGaxbq/dEt/G2th0Ve0YSeeSwoA
sDd8ceCtj0FEyAfRgKEYgo8v+LbzS/aaC0YJBw8Ej9POL56Evic4i7hGr7Vw8JbFtoKhfU4YUrsP
PQLRYuov9xauxbOPr/zO50tbW3dIrkHq8UZ8UUdTr8WdI3EPTtOXHhLY14qi7z1G9fTnx5d65ybp
8jIbceDhf6c9dJojbDqnTgZFX1MaxdBBXOWC28NqUh+cJku8dUOXDQyQSeXu44u/c5/sqyCqQq3i
IZ9az0mogo1QShk0ZJ7tq0HeR4vX20un+h9vA6xlkjIw8MJjeBMPwkGwiTCO5gGWo6dpksPG9EaY
jbkQ/3iYst1AMIUwChnGG7+4WgLyor7LaS52w2Z2qL6I9GoYbGfH6fPHP32Ali64MdOwIDAQ3PDn
NxEluZJWXnFbdiEC7LyypJFAYbfJRfYZ0eLtB8jF2NqwNbDpap0uXxUN4tjpCu5Ms+5joT1hT/uR
juIeQeAne5DlW/5zC8Kl0Oc43BrLy6sb+7dvHSJpQoIX3VhsiVtBwcQvbejseT8TLYSbJzc/242+
f0X4P8jYlo/udHmxlOthSM6CyuiPma9eysm4F0uQIfk4Obx/8/yfvzo23gs6DagFLZ8/X50NbQX3
rZsFWtcdyQsLLCsD76p/cpm3m1KLYBg0MmIBTJinyqre08ck4a8OIOwuhnBpHdTIivjxzbydRbiK
AYaZmRmm5alJH4fMCEPVyIJacKzluIemtPvlSucmrVq6aoR6iKn8ZJZcuHlvRskycaBvJ4vtDe8A
oiYOgBhVlW/jYx9ygsXXUmXIzH1adbOkk9VMoNdWGOagqxPdpKh96+6+HavokNNM2gGavZ8nu7pF
iAtdQCk2B8u2gOwv+wxtjPPgm0AecATan/z6d1/MQqymI4Bn6PTF0JeMc8qbeUCJSm7TyU+P2kix
4+MX83aG5cUsfD7f8E1UgycTRGFVLCNRmQeydXOSQ/tAz4x7z20/27W89ypAxaOqBDzBGfZkNLu5
kKqSTESjEnSzw/gwOvq4+/hu3puB4BWiRwQ0iOpreaa/TQsz2KIx6rQMBQGOlt5lmcIAiKa+yb+h
1//nu2jOjMhEWTIWRtLpCRXvu9Ojusg4O4Y/lmdXJ85NUYdPH9/Vex8PMEbHRZLLweCUMDI24Kbn
ko8nT2zvOpsM6uyh/YOKa7mrI9v7PuQQdlCxNJ8sVe/Nea8ASBR07xx6qJ/osbD6LIgi86qVGg6K
aKfSR5XOd3yIn1ztvQHPscdksHOyfKMWBIaAjgzrcqAiAkoLx3ZvBhNX5scP8w2vBf6RzkN0TZYj
gcz5ZF71O3PsbOpugdcN+iMB4OUOjjWilFT0OQV6d3hIDa9cd2XbX1WTzC7t3BX72EPYNWNio7sE
2dWo8Jjjz6Ap23XpZ6db490nT8b98mXCMjvd+NTkPtpDUbDajBa1wrZ6MdoltVJ4zSFxvSe42mrt
Ai4+z6VIHrOhbw6hX36NaevOzuK+HArrQBXJXzmTRv5azH18/CDf+dZobLEFdV0BW+B0QcxdfkMy
st0e5PxDzUa70xWKqjCniT29fHytdx6H8So0tBfFKrvuP79rE/qEDvORrX1o/NApOGwKW39pJsi3
LtE+mLSc9pMdxjsfHXESBrZTTlvc5Mkw6et8Guuo5PZS+0ucRNA4aN1TzKznlcCd+VDVQ7WhJdsH
//xeYZT5S0WKDeLpTGmBykxqrykDzmqXePxIZ6rzG2TJxAJk0eNEeMwne9/33iRbNsoApsHp9xSI
xreCCdSqykDTo2pNSBGtSSnamwHoQVA4HKQ/vsN31hxukD3UkifGZvHk0RZhbcUJIdXB2EdIuK16
2OhVWW0Esrh/51I+7nfPYcMIruvPgaNIfmkLyRHN8Et5becVbk23dc6SzjA+mb7eG6OCD2rxISyS
55Mx2qOLkTOVgaApunuoHj9tmyTDhveXRNWNh6n9Hx+OmMAwXZiAyNCRn36AxkjB3WxmGcyEb690
d7itCdJV1AE+udA7EzPaYt2Gb8Q2xPSX9/nbqqpm3Hp6yBGQ5PmnaBz33lzdfzIkBH/HyYb+j2uc
jAkCJbPUsrgGql5jZSWJOoKosW/NzgEikw8NT1HHGjXUCtpYGj2UQ+2iGKBh03mkYw9GhyRKJrR7
LADXmjAMgA24oRPR1kfg7PGN6ZMFISccWqHS5b5oUGhwup3WaOHCQ2x7qLX1EbOisdCM4Ogbt7Nf
oLiQBjyNsmjqvd5D9eUANUZXKcHcOxRoC9kqqa/i0Y33UIGnQ45h9LIXcXHRk90ceJl/n5RZs+YJ
Z7uCWhHxdKiFAhRKUHSHWW3DLrZRDGbDOVnBCZQjopw/frzvjU3LcF2DcSIWSumfbxD0CRxyh7GJ
VvClGtsXcsevLKHtRFFiqh3Kf+OzY8/NZo/yPcr4k+vZ8SQJTZtk0FbxUnO6HMzsMLTyk83r25Lf
QjxF4U8tkzKdf3IZgCMxPGifpAY9u1EqqREOed+r7IFO1AVd6XVnm1+jWn5yZDrNeUHy/0padR2e
KIfr0w2Zr8BgqcGmJlJO85eYuIaVV1vaDWp3Pd/SOOeMU9kFPIKsrza5RCkE1IKJvCKp20bqa6eD
dhB6p+2M1pLrEHUYA07tMX7QxvLTb7bRc1Af0QOBpIk2pPASddi78yYywjszw8fvzTZZDW1qZbgK
seel/B7QD+onwm/jmuAXYsdGLHg4uvj3xWyv46ZNty7sgsdK2J+9ivfmdAcALZRbygxigY7/Pkck
emMXMiM0A4DYRHdpNQ36PjPa/pOR9d5c9Nt1TjdGverJQwF7FXh2rq8l9YZ1Ecfbjz+X9xZEB1of
fQX6bVBJ/7wZvTJVWYFtCmg6eetpsSzq5lOZxQhrm+kT09m7F6NeyZkF7Pqbba9TMxnJnG9Fi52C
k+i8h/azQwaGoLJNPnl8700EDmV/Vgsse282v/k0CSdFShHUaX0DEI0grHB6KvP6Z5tg3oqdT56k
8d64cDklcYDFS+We9mnmRuU8X/Zp6ZhDE5lN4+jN9XAwqcVvSqHFgaUqHN/KF7eJHsbBFKFsjkDl
XniRl+380poeXHwBaLTDCGTVx2/63Z/HhEgZifotPp4/3zRpko2WxWxzhkr9FH70GJv9XS5oJv8b
13E9ToocfxffzJ/XaUhJjhWinICTqKKa077ISRs2ZVd/spC+t21d0LaUWJb/c0++QzH4yLgRYAUt
wvG4Qec2yJu6tI+pZ1yB0b8vcv+TQsV7A/i3S55uWNPZyhHq6EWgDeM+6sqfvpWjcHWOdflZhrF4
b/wuIG5q0eC2qSX9+RzbwSOPcXQLphlz+trG6hdMQKJ5csNbU76N1gsfYF0wI2+TahEca8Yiz6pR
/oA2egL3Hj+FFVSrzkS2jLUFs0Hc1nfEP4H/lWR+Qmb3dqM7eI+ezawJ0KpBNaE142bOltJmaf7S
BxNNOzyEUelfU1Ll8SSqbcuWL/H6YVVMItmS+GjeKZSXLPam/cloeu8p+ItTlxIH4/a0AZsTW09o
k2Lnp+bD3M7GqtWtJ8zjZ9RMSeeahk8u+N4rXuwZOAZdiq2nj12lRjRVbIaCpII50KuuVrtXOoGI
gOsQW48w9eMP5p1bZF1f3MZw2Nm5L+P8tz2n70weyBGRB1AarW1cT86FjNmhTWnZPKVwmgN0SN8+
vuarXuNkE4r2xuSh8olytD0ZXZE25XRm8yJwitlfx0Pn3Fmx0a+lmOyzuMzzRxhssA8sJFuvOmUv
Bv9QdDNALLREe20A5/fJozfeKWKiSqDqs8za7puzbzTasyIulaljDtGzicjaoUoTuyasmz3MZbFi
pCCfssEgRnVMSmaTIb+2PkMRi3fmysUXjhwDZjaNNvPPV6IjjXCKNinwLadgVF7FzYkAfYHAUtpn
vC730KZIEvFZQCnLKSIbGjGVK3gi/fUgBn03TSG4iVe+fDvrX9gWy308MKSwTRCrNfr2Hl3uT6IY
VkzZ/dZy0niLYNDa1Jpsg9ip3O0Yd+7Gi87MMhN3mZDjFZ8tThTiOuen2Ov8Y667zzpQsE8O5u/d
Px0wPOju0qE/LRxRbkvzphXcf56Nd2BKEaQ5Y/KUGFq8+3gkvncp1JdoDXCjs2ycbEBoOsEjX5Yl
IKTxRlXeYukZVXb04zx6+vhar+/tdNQv1V/B6ZVl8PT4LzUn74Yi4XDQA+NZtTSMcXzMlrEPVdnD
WM2NM6PUw+t2JKLeNLXoxmw1uCUiV3slwbm8/qD/xTd8gm8Q9OiY5v4HJfAG33CHpDj+j80LHDXq
Zz9fsy8OP/7z//z9B/+V/+P8hT6MLjhWIfzrOJ//h+JAve4vfNhoZmA70FhdQhL+hXGw/3rtbQEx
XvRJizbp76QKy/zL4gSHDGvZC4NF+EchmRijmSZ+G270V9lW6zplH8bc0nH9cxrx9Ua2YVhpZxZx
UzdkGBXbeQltK5b4NnfpLOugR2+RcxDutsS8GUvgG+EIpO1mhMBNSxycaNAmGlXrBdlrWlyYphIZ
AxFyJDTH24xUuUiJAIpnj1+DwDkAQY8DCXSDSRQdeVYemEPi6eiXE1TXWD7JkITXNa85dpWVm3ft
Em6nlEnarYiKS4sK670UaFobt7U2U1fnPwgMXk0k5aUk5tHyx8EbdjdwwdrbtCRWrxpsOKoEthW3
5PN1x1J51Rm5hT3E9iWWr18C+tJckkqHoelQ4PffpilBfrg7/V3bEO6X4jN1NhGP87J26KGtsG6E
m35cMgHd13zAaYkKnHVCA/UlPlDZlX2u116Q5+at0pFCipawwYLUQbC1hH0vQYQR6TnbbAknrCov
3LU6gYUMmHLrLSGG1RJnCLxlDX+nJuOvLc7mltBD19bcY4EbEOMHkYid5ardaEajRDe/ZCbaS3wi
Tv67ypbVZpjiR9IZzYehsJ0DRez+WS4BjDGWyY0+LTlPqp7IpcPrmOD1qsAE6WdYqcR8R4BklnXb
ZCg97XuWj4Y7A3ntNMCoTkOCaSfLBnSfjf4Cl0tbtdhl0um2EtK79CMfuNHgVSjO6gmY2r4wmzow
XXvck3IsCe4jbuNqLJbIQ7eFgjolWhG34K8a0a/aKLHP3azW16kxYn/QMsjCuGKoAxFUb2WX2pTg
V9toxThG875U9VzXF2WaJ1qMVwVZtEvSuOgb11+rfpSzPLpEsjn1c2mG9m094+TNyEgsEwpeK7j9
dTrchG1W7CWJfG50JVx03sMOl43ezcQMqbq99Ru4js7DoHeNfqf1k+NFW6rEeQGWa7GlmzvUV96Y
8AMcNuLjBVimSVU7XLWyWxu5bjyVnhpvhrGaWSdT6Lo7MzFSHC8a2hw2qeh1tK5p/G2CsOQRM8gi
4J5dTAetU4wXGZkL3kr6FW6sqJo3YFLDW5nHmlozk1TQYTMVP+L9zopLLZ1MY12oSb9CD+j0uxzI
OLbmKi4l9hApjxDl4qCUOav+DAZvPXjddAfl2Y2w99bjUwZNEg9P5YivVWwRoR4V0VUVT9WVUyUe
6FGF+Tw2QBrzA/QLEK72togqYjNlPgfoAtS109Ty0R8rFBxuBXJrZU1pk+N4AEREgArVPs8hzU65
GiVFYL0ordvR3hgaAryVbkiXV852f5XaIGdWpEqY4I+a9rbrXXmN0ibCJmZhA+ntKz/FSRvmajxT
uWKnX2nR/Py/C+L/S3CTSU+H1eH/viBevMCzfJE/fl8M//5Dfy+Grr2EMy1KKZ36KtVyVrx/IY38
vziOI8RFq7I0vlnx/hXb5P+F5Imtnm8ttazfkUbC/YtPmHoj3UfL5Xgo/gnSiIv/vhRyeXrGCzWE
DgV1s9NtntTBVBRxBgkoMuyZSA9LniNwmh4KY8Q4GNmfcYGWfeNva+9yQZdwAo5w/PK3LVY4yHGr
zc4UjCP1H13rcbw6Q7L/7SVc//ff93tg0VJjOLkKNpWFamNzVnhzWmyRrvSVHY/B1OIBHMyxusnK
mmwk11JbXRv4EBt6PlaVarfN4I4PH1+eUKQ3P4CNiok31/JM7vm0LkyGAvi3yW2DMnfyESB4PO9y
NwYQgHKQANK4PhIGy/EJdxBYbwU1eqEyJ5QOGmRHd4CtjWhVgp+likz43yoyMOp585DtJjPjv8UT
WRRrkWtzvxoVlnn89Q3QN4wo0y9K7dmtSD3I5pj0gtiCDBC6TgWC2q6+4LGf9kscQrJSkTHRAqjY
7K/oQM6BXo3GPSJ1dVmD9L0HAILPWEBQGcgHf/GKItFxP/XTr5gU5l0v8/4x7+S0b9JRnocGIA/8
qkQsDqUpz+NQpx+cTOqZ9C3+4DAm/nkDv25LiSq89Xso/Zu+UXp54FHJYh0RcmWsQ04jYk+EKbep
uw1EF0yb91M5QYsby/jKxq9En8JHdY23EteZm9Q3Zd4T3Nwv1qW0JYi1cZDKzmJMqMwXw4agqvqY
dWZ1A38yPKJRHfdOZeSHCt3t1hBt/5gCln2s0tm54+2YWySiZDqYAOw7Z6y+TyXRWpHLUTwZ5PQA
0qZ87vSZN1NxAAmcBTrjDoD6RCv9c8cgYJCQ2unXgGv0Qa/5I5NeN08O6/N5OEbWASercd8B3X5K
20Gej2XpnxcFJYcNQYVWurIKPG0rp5t14ES52jYqzNeD7M0ta192q5wYDxixD8BByvq7FfKPUYZi
njBdmnEBMG0sWFZXfR8bPmdPa6e9k3T5ofR4uZOrhs3YpRBPGwH6aas7BG0prNqU8gHiu8C495oR
ZrcRmnbg43F1SYqUDeM/6n9m+kTKBvZzmkm6zqRhlF+Tseof6f/PF37V81eJeNqrgsOcMXLH/qCp
yzBbPnatsq+0SO/Xls+9OFbqr1o/LtY9JjtipmPZ/yTtZ9qT1GhdRRZvIkRNTei0mjYFOFwCrMFt
/xrIPH5xc99ejziSgM+PIDExHIbhraOH1XfUWPOFHOLpweRkuYcUjzW3rrIdbPH2h546xn0CIHBD
dBzsVY1n20S8R2IredTLEGVX3P+cau5+xv0XATvmTVgOzioODdOvGr3mcx654TFvsudBazqCUWoy
6L1fgITBSbKnI6+6CQuT/Eb7KwiO6ouJlesxMhmbGBGzZG/iFd5YVv7VCt0eFrqryBayGZQL4nGM
eVFgBtpdWFnqShXCuvLbwb7qptC4l0mjnjvbKb9i5WS0ukAjajMsvwr8VWcplJK70VsCDbQUjqQn
h/IlArWI7l1MGj4lP9u83pwX8xE0ZaPdjpOS7WbkoHBB27J5UtSlb6eyNch4oMYGw96AvZCnxdoZ
9CRoS9PFnR+OyR52AGFHRBDzmoqsc5dQjuqLkWB/h6Ph4qYyRXXZOuAOzCe6kUbmPPelHNrvSd1Z
zwk+xSwKOIxIC9/BrMktyvOhu5iqIbSPQyQ66xZSAYcFa5weDFAZa/KFYzZz9oiOvpqdHePQBgFN
l5o0hbFlaurkZVeSe4Bf1j9aWnbd6g2R9Xp+q9ndpVWoYoej0r6ZgcCubBeWfW1HMPHDSwDQxGjQ
9Aoic44PhZk9NCh5tt0S6tBZ07fEI2HF6rsfWWwWB01G34lcig/xjEBCGp06L4t+2OZ2P4KKj9of
Bi7sbZQ0Z1h5wx32GwOGReZvjKmGFuTaEaq+KLm0ZgJFYMT307rGXO+k3lHLVLVJ8krOK+WH1QEh
KrYdbYTvrUf2qkgymnRFnv+K1EwWB001sggaa1qT9Hk7STfZmoXmn6UwbS7oWQ/4OPlgASEYZ8mE
cavzvYgAMV6kafT6QSeSIChc7PaqFd62HDSSpwX5471cwD86yn1TK/SzwU78oIuMO1FwTqTb0Jwb
0hf51uTZf2/UMDhrmzotUv6Zd0glru0DDO4kSxkDATQhfOkG8rg09Q5Tg2/QNvSJL7XDJR86bL6L
cuj2kR2x5rGAezv81f0qJmd2m0qnukWvZLCTz5odMuZ4RJWiwVH1xq8eEWUrwqvHMzkuhrs8y57x
7pXu2hmdae8nPdxsJF7ehjAl5Ja9JSiZCMQRhgmGvbOFe6DxZuqbiUkEREimzGal+K4urLxRZ+TE
QIMxdfOAiLDZiDjmq2q2gGKrleTgs4KObx+VU48P8yDSdb0QPVBlBEO+Eb1WArZ35heV6zbtp2K+
V6kqgVQ0fjDOtn8ounC6TjIxb/qwq45Zoay1Y+Z4IJ2sX+VDlG0bS1g3LlUCNgeLDC+q4QPoyttV
Wo/oYIngGWwxbSxfpF9cJwIeoU/DzgonvMp+r+0q2D44R4qb3NBYy0GmHZJEjGKFlWATaZH/CHvK
2OcJI94RZXzw+jHc+kNoXZS0wgiDGLRbwpO8S6Oap+MSepmT+uND/yGDu/hpRdUlfjz33B8xgq2t
YQBhnyOkRrUaZxeqmY2DQn5QrZPYqc/yORTPXepO1sq1B/wqJvGzZ/FESgkH4FT/qfDX5hsLoe64
0VO9P/wXe+fVXbdxvf1PBC20Qbk9/Rx2imK7waIkE70NMIPy6d8faMeRSP+llby3uYnjODIOyszs
/eynzG1LZ1sacq8IP34aCpUSAJSn2bnbx9230sk8InU6V0NJsSorFk8oZE28FPMOYXldQcs0xgo0
IRH6a51Z9bovhqUuaNobhKjFBvVaBRKhy/TMGBchC3r9jHByu0yOCMrkedh2tYvkhEnaaqhFCvwQ
RN06wwvkarKj9DAnVfPVbvD6XUuylZZ3g5HtUiJlmcM5tKQuZaKrzkNacjbnpv8eEIrSQB4AU96Z
eceBgxxmegVYxj55MqLbhjE8a4A4qXM/MptoE4vFPjdJS0InGnE1Y8pya9RNw+2mTrJTeZojvIca
sS4p8pKN643N17FR0D0S2IdYYXA6oxNqT38WX21qW3dYKHTfG2ztgo0tiFpfWeUyXhmnif4zbbzP
Y95Sli0FI3Yv2s03WWIXRybZ1XmBH8rBNTuyteqBzVhmcUbMPTEQm0R0HO5hWRu3VRyq+9R24qu4
pNKohNdcxvPbrwjbR8dYzH6iFgRnJQhqeu1x1CMkyKc8CdvWumYbrL47jQcsbMQIht8yy7yYjWhV
Sn7O4sSyTyxD3ScpJs0rqzWCiswAOe3j0pvOTCKwt4nSwyZeVNI1xdYTwoty3U1L+Yuc9snvxwKT
Hm6BSQdM5HKcXlHepftxjmpivtIQA/cBn6dJRCbhP41TYCcZtr+h/zFp+tBEoPILFgI+QOrCYuGf
/zCBEspAWzCh1gRny9aTnzbZti2JB6+JQdo0KRKRMHH8V9L89CENnHhnWPYLarEHnIIcWC8cU4YY
4o1CInShpe0+gVxUF+ns5GemWTrPNqTzEU1rU+kzHDUCrNytfGO6uHenGKHvS17hIQ6xfjOtBAn7
WFIngPqcc3Bjgz860xlEumEjW4Qk9fJmbaz0bnUsvc+G8CdC22ITi8/KdY2V0/Ft49FJvTHUxLoq
PhycuqmVaFKoB+Oc/xMJ27x6iTsWivulRgLBam8qBCS8S0T/Gxe3sMcQn/eVa6ZMx/CU39pjRPQ6
XL/zTGHPr4lxQ6Sf6PuYkEjkXsIunqVDBt2pL2Zfn7fREPOQUgKGjLHrx62I88Rcq8aJCtwkAEzB
HbEZNDp3ww1V9n0dYR/XtQ7GJb43F/Ex5yjZRPPyP0QUUtHGRPYNMJnCPNcQdAP7DKpFh5eBMzbs
gtRS0kyyiuybhDuOq7AGLRJUgpiOpnt/xIzLmCiuaGNM5NUUgF3gdg8mRihrHC/EuhOEiK3LEKv2
EQsOZPVu83XKVL6TaZ/uleZUM/NhPmBOSCGXVJ6679Pi2ZfU7QSkNU/BUDjpRk5LbtPy7MLFWOE0
zzx8Frtxi8uEc7RYsDe5o9N9BLG8WgeiL449qT0vIylmL+5kcSbbhW2vqpH36fSBvKYDCM6n1sRK
ZqDZ8oqqe6hIWXsY8dY4mmNfP/dLTV0lYbFOyl4Pa3cuRtIqikHtrDkuj/hCUS1WvrPizPJvSkeq
e9MiGg9v9/pFdBLffJfKtrHoWjaymll5fW11D3ZGI9+2RXNJ7APGEJE71i99VAUbJ+ipSCPXRd5f
i5k10hGVY2HJwj/szbn9VlcjT6Wcgd2pylcidecDhJ721DYtaIjNZH81gn1iiFdiLycmn8a7tNtH
NBnBuTXQ3mJdGJ7HViNP6eRX5x7x9HvID9O+Mm2xroNK38PJoK0apnQfLJ03lInmsszpy/2U9gR2
xPwasErnbRrMzROzhWs9+s1Xcixoc0wRk3TtYq4zJFBlXP6llbEULMuvHt0lEyyAySrXNQSE88kZ
SDBelupIJ8tBkg8bUnCaZwEQucNCJ8NcBPLAVumUjnRpGtLRpHFKRre9MSvJm6kzjoC3PbCp4grP
3NieznLorYQJyYF+2sEwA0CLuyv86WyOsZ4fNajG22doj7S+fN54IY7KmC7cmE7T6ab25q3TBqcv
FlFssfbwtCJnju4DG6v0ULgcZAWEi3MVeTDFlrbMiA0eA/oQn+EJC/4NQJlTPP3yhkZ8SJJXGZCZ
NrPcqvU4xRwCw2ImGsSgBmYz5rdtAxeTkIuc8QryQij1mLe1Cr8rnLZ4xfFgFsQLckcQiGya55kl
CLsL6CMir5KW2iS8ThEoE2Z8gtjqWcO2wr1yzawEQ8wcQz8OGlMCOMDuYPgMEoOdWPs4Owx9VqIf
2m+YNxPxaPbTlwojnlVky+JoLE0t0lq2NTopEjaWDnmJWlkFHeaS62pO+TeVNk12O7PFORaXf+ub
ffzzLsYczKyqE5eAPOMP05yXMsU3eH1FySHVdjA9//w0iWbaNS4tObOp6Na0iuq8qe18g1YuOA/6
rn2sLbALYlTAMtARVOcD2rYr7VLhklLQs7kbdvcd8Wz9PMYy2EizDc8Hn322HhIeYSKIujVxNcVk
JFcWwt2SFtqjLOrJajhfvudWLtswCsqO/NUCJChMfWqNXPLHw76dzlJ4fXfJgjYObbacAhTGz1bA
J+HOqvuuWgIdEiuKr3yCTHeWXL4frJTwRgL/KTxuJ1pQh7eyIghBpvCeym/LQdO9E2+38eCl3r2d
DVYP9KaCOLny2fLp9wGvtCHcKz82BEfFEAbnbcgTbqfcvhsY4KzDEtdFj9jao0sbsk68zLprPNzS
UkZwxxBg7jgVZnWO6211LmyKh3J5Bwn10lMH+7rZybmmKBosdjPyx+6ngfKkycFFzLqw74iEZbNl
H3vEK695QstH3AdMh/UbFKN7wKIAw7lTXCUD4zOAjI7dpFlTXua7JUB319YjRus9RWbJwsblxgF9
qgsWxWTq+rmwDYDBAazOSSNKtJ6CxfFaBKaAelsOez6et2129HkadOzkhdZu/EA3NZFBZ5dLHUd0
6mmUzngtaZa/ND7VkjEPtIq60zxMk+0t0ayjnGizB9PTDbW1w7dmmNHtOIBT2MVYpsfKFe1pYFDx
4i9bJcpReytzJ7/CVxgrYi8VoA24jTptyPmQ0KqyJiWoIOqwJS3NQvLY+uoPf8nA7PnpJDXmLNw0
pPgjhaT5inkdJUfbzcUxq1hkaZMmV1iOPmsteGoEJTtHO0hYKjrnGfSFSRWqh/aRqiRzV2okNGSF
d1FI3aJEekk+CZvsQDjRfV1Hzjqc9LTRihc+BQj5chso8+1v3xbmVGYcMQbZgd/EwJnacKgcq7kf
r/HJnXZlkqXEJNUs6NRtT7Ev2GQgPcRXqDvhes0inS8ab6YSHvwJy+r8Vblz7ZHYROPwBtD5RNK5
eO7eDksVMI0tpTBhl2pPA8cdDwT/ZjjdBO4T+VMJFkIg4D2N7FYJYjuYEKrg1Ef97wjXC1HgHeZu
IWmCHuTjCUBSwjJq+KFaVbVTl0Rz9Ac3BRxeY9sirnyPOW/cY9o5uWxtSUjx3cfmeO3HSNWzTuDQ
RnEQRxW9S+W0JwaX01k1NO2jUq57hZ3u+IUtYd79GqD/wLNaWJCLfw06CRRtHyzoYbzkvjac7mCk
S3JnR/DQ1NCLmVaWXBmKxgS0gkLU0jRFuKxSWgFlLOGR9UvWAK2+vexf/6g3DtvPUwsHLjnkCH4U
ov73Yr4YvyU7TOPuUJYOAXroPBYzIdWez4Oh91KqZEP3Pm8nyDkUOgqQLWt4u36ydHKo5G6zgY8K
3gK7QSTq701a+DeBF+MS1eNgHRmybldtL36raPvYqcCleHv7PpqaDxpOaZO8F8dGf4gNuz1F0C8X
5J7qsc1aiaXuMolw2mCj2ROfu4lTpBoq+kLVi79mL//j7vyOu0N98stR5cNUQ6GKf5xUOn/+mb8m
lW/cHIGfhIfaDHbMQhH+a1KJWGoJUmGe9Tc359+snUXcv6ib4CsuMqd/03bMT5jVoE8wYay9DTj/
k0nlu8EhI0phWsgykRohAYJY9PP2EqnBSkXUDpeq/B53mN4Xv+Fe8rB+3L8+XODd/iVHDFeakQsE
FMloLYHLXuiUUmiYJfPfv2fE1x/Hk++j2pliUWw6ZHw45Nm4aOx/vpnJ6oCuIEhegPbj995A74XG
5E0UqXbeimewojj4ljD/6829CQZpzFTbYkqrE2hBG5ff6z/JGjHAM2zBfUQm8H7CYAwCsEnddK6k
i9/9menBzy26MIvkXQAYf+bhCR/dTW2/y+xUnDrsgq+zts5SWBlRi0KMQoDISUcK0nm1ZyB7GjRR
c5gxlljBfW5DBnMSl+JK+/WGH1HiOetNdE+Vsk/SatIv01goosqWsn1e3KZ2pU4Lpzzz4chsBI7P
lwG5I8OzUZveCv5HCUbZ23JNS+E6V67hN/NZxkzI+DyYRuoyDWD+EML06PMMO+O9X8j0L53x/3aN
3+wa0N9chHB/f7wfGH8XOIa+fEsUsZl99+Pe8def/Gvv8MJPsKQ9Ng0BRm6ZPwY3OZ8EvmboZgOG
8eS/c3j8a/Ow37gMcAWJaFpiTH7YPKxPbCrIUThPPGpoaBP/P8lNXIFlAJubroZf9444HDoTBpyN
0RyCtHhNAKr2OFhGK9bK73jqyzb04xkecCXIcOR9w1ZEPPvuSkWF7dMCthwCG6NmHGOfm6qGNRcl
6jeayH+60sKIRBJJ0QBB8uc9JO6NaJYN+eT9kCsC4cyrTpcZCq/5/ocX/k+71cdb4kzHnG6hHJtc
6+cLadi3YS1ngtCpRvMif42M9DXjr//NZQTCNqR0HykTuEDhJiXGhjJlCLdhACWB+M9inY/pf/Ho
+FbhGeOzA/Hmvfw3bszSxUS5IWWrlOcjCfUEQtggGFX2m5taDo13n0PgMXVExeUQGPZex+Xrksl7
ODSHZCAp0lPT7RSP9/hv3zeaDMNfP8H3FTjfHtHgmFtgyERNu3Brf6zACZqtWZt1c2BAwWiARuiQ
kU26qo30xQzAuFMCAlbWRDzGry/8D58i5/9iKfgmWni/vDxZg+Uy8zhQjdafFSaeKxFiqY8TnrP6
9aXelQFsEtwjVTK7AqoTVvXP9zirTE3YXDV40pD9Qy78tM1sM/r866v84w39cJWl3v2hl1l4WdqA
CnAwwpGoBzne63KoTpX87x7dD1d6t18MeZnU0Gj4QAo1bbwxe5lrEKzfL6+PhppvtGfsiqCiCcab
y9fzwz3FCp6EC2Rw6BEvY2nb1StClyE/Ou5jS24tJlANI1PmOTtBMOcaH7HfOLAI8+NzhdodBHyc
fuhikPbuC4W1K4KybkqI/na9aUwNtXVqaI5nt5y2IXyhjRVKa0eoiTiYcqxhJzshYIBbnSB0oSsf
APAIycGcUMIg+PY2//KzyDkueXo75eevE+TyYzxb+qLxuwhS1dx5Kzuk86mhI++mJCq34OQ2vB7c
teEwlzeTDO2H3Lfro4iy6FmXdPhDOYpD5BPOU0/EbA4ZSyr3R3J6uknBzKEVpJ9pAWf6HncclRfV
Fv1J9RljeveEe/bwrY04aKze47dj8X0zZW59NgSdztaJHyT1dnIL82tGLACeH/weA2XESxlx07nu
m10dxs0VDIR601NCojBzoihbWaoIR+ZvPTnfBAfsWpMxftYyCjRkY6xLk7ubS/bOElvbNawqG+YX
+1sSpzi6Y+NMYsBo7dCt1STIo9U+uZRnezwl6jPLJE88KOkog7A01n5h2g9xosXZGFvZcxzUxb03
MJJpO6d5ar3Sfoi492blDwwXmtKFLuxFOsKKym/Cfu04E9vNSMWZQpKWxX03kJsCalXeGEbaP0c8
Gvzi2+bKU9mrafFOFb7JD2WQvo7dEH3uvbk+wjnm13ddfTYVy3BUgtfw+YZhkRCN4423WFO6Rw6V
fg2nLd3ruHBWVCLpknWjKgJHcfBcuQqCRew0IYnLcfXqkcl1aZFdtfdUgWrZNgbGjG8rr+hIKiIa
JzhPPB4Z5H5uUyXELLmEhJdtE98FMzbiJKyl+XNIqAEJ40O9IQIog5tEfAGl+iy9Yp9Cb2guLAYz
4cZLIv2YRI0RbmFadAFKgTydVx6Q+zlRePNDgGHwHWPp8tX2k/rEPU5bfNKjFd1Ve3BJdL6v8f+9
c0hVzNYCiAsjdnh9ULmTRGM5PzKVkzgbId62eQV9NOaCbKYmrlc48RvYhnjhfddKlp1LHvFau5yy
M2kNwIXN4uuNw3Ryj8VOrPcqqLKXEI3hLqxYR1haQkZMQ13sOx2NAE+hfpzlnO/xQO3xIDCkne6y
xhHzdoZ12K5kFw9qRcS29RVHq+67PbO2XAPGwqYYRPdF+33zFGeuOPOngm2cSZJAzmU4J1i0KeyF
ITXWVs6bEEmcP7exXZ3GiEwChu72mpD1VxC8EMKh55z4IaSAYwi/MaYOQC+Bd3VJZgvslrhYDPx5
Q8rh9MWulelTAPhA9mX0OdMSV/+kGZM/qiYUhyr3GEh5CbnlrqUem27Se8wJiMIIFR/CPAQVltkp
0eHI51uD1ACauD2BHH/0SvqbpBs/Q2uHF6W/qmRKT2XlMWeJyJznNPZvEsWihCUzbsHg9YXuZbiN
c9Y5rjLRym78/CEghvkMz+hdOQNwx/PY9OtyyLucCAoaNKcv+KjZFcfrpIANV6ksvHKoa+EXsOpz
VYBL6iZi0EpQ2yzZ3cqh13trOfobl/u2y+wl7YzgKsBS5qUYiXtxdG+hHh2A493IOY2KLwrb0OhZ
hXC+zGKqNxpPi63oZpZRSXg8NkwKQ2ZDEpoed+w5CelwN5YnWyayxYsQbJRSsn8QbOPfzCm5P7aU
0ybyW6ZJwlHBDbkdkvEZmYRkPvIZqlC2+8Is1SabMjYxW9Ubb+DSksnWIcWKHH6SNXxLMA1oqqIi
PaAj7wCXw61MiyunIXMhGZyAl1A2V127lPa1XZ8VtKPs5G2iiGy2XJwMeDppFALGe0wq3nZd2LVP
fR5Yf5gDu5VevhFhztZlHvXpZSbGeKcnVPcEtSx58kYvCJMTu44hzBqneXst0NDs274e13r26i/w
IMOrGcXFZjR9uebAHfCW69m5C1NKXNq86k43cUTkMUKEaFblTafYe4yY3WMIWfS5LnnmYa12TobB
Qlzp9NKJbPNraKn+jFkFJXGtroK8Kw6dZ+p9liAzLsPYuOhleuWkjn40sqy7msakv4iy+YFElAHe
HfzZYMLE0p0tcZjDdGYe25ZXpGNG10X+5LckbMAcea3jxYG6T7+wnu+lNuODje8guWhlu+5NB9uO
CfIWx2K8Z3P/aoharWyfQ28Ryh6NNCnuybaoTrJixzHLAKalaRGfPvNKmz83WUKOkO/yDna0fwOi
EaICOberNXjBqA7olV25Z1q8spllDqseAKNiWFywmWX0mS2fSBYiv4rN/FgNrRkSX+IvPigkXG7Q
3MxyVTROWsLgaHsTXtnQLpFS9peutMvT0DrlqUZ60zCghWflFJ3aKAu9dMEcacQD7GwabGLhOXwK
yf5Xoh+5bRkHYxOUZ6TFuKkuk9OQhQ6JNWSc6eAEHxB5SeQpx3fWtAOIU1czxsOv3ZQlZITpvPyj
ETAErTT2jyNDYFjSUyiXUYcwmdiN7OtTsEgfSR7r++vKQ44iM5dcH6gAcYbAN5EuOKqyNHQVq3sO
cjOHCjkWn4fMGSFCWx6TGup7WFqNP+lTVWT5Jm3Mr26gDk2WwXyaHMahArmo7bG+2Dj0jRCZcWE5
lQGL1i8xV3ftac86tZ1VnUFzUUXQH+wWE7uxjV7yRCCSw01lay/sVSK4rEeEt+Ml6h1inRgRmpvK
tZWxDgtnvmS5xt/iwoeqlludwQx3DKluDeOYjsIMdn5csr+5Htu3G1Od0LC5AyIzTAQ2DTd8yKEU
QHaYhP6NRuCjmngpiMHgBCYq+EK+7wIb7HIJnFX5ISlL96R0V77WDpESq6EfOrMk0J3SqiDoHuVr
ZvWX2qOysHJ8axqLsgq27wsHV3UKbJDtyabV6dIGFnsxKXHmEm1zXslMMgBF1dTrlvFqDyp/iBcj
WYeoxXrr+mX0GXtx98XxkCSvQv5jHxiWfwPFl+02Akq7N9M0e37bA6uKFNb1MC+ywV/3Ox8VuOgy
kJWYZggAvKg5f24Oupl8RtWZxYExF3uvPegLDMBNH1cZaibCGNPLCasMeMszNVYekl7K5ifOeqeE
YmiFv+ub34GxqLv5PQA2+Gnj5vrBE9SPyUDERa84yNK6V+CWMud8Gfz0pSrUbTRx5P/6CXxo1PkY
gL25kkVvgvL53QNwtShj5pIH3VKQVsQFclhTmlRVUp8ZLnFAv77eR1uS5YK+WDwNsJP7YLJWSYo9
18uxowxIaVyxY9abtKs0GbJ8WD3O8tu841tDZTtcvx3BA0Fp3j6xB2sHadtYE3ErXsi90vuRmMHf
fBEf+uyQiPPAhibPCuG5vHseeDUNHuYR6SGk394LI67PGhSov1mDHxALrgJQgcEyFu1YGb3rB1Wq
dORVdXrwXCpXD+NM3FG9ft0yUCIXKSdEbMqo3OFv6MdfvwD7nQp4MRBgbrHgPwyNPxrQT1bualkM
2L90QxxBQIFZaURR+Fwq6tKuHsR0FRoivK/c6T4Pp/bVaMSw7SdNYGxfV0m6bHayX7WFChymnA21
nJvLA8UvVCaIpt/byIr6oxHhnPcn4vI/vPp3eLX7Juf+v/HqK3z7foKp//wDf8HUgfnpzSzVtFl6
Fnsd+9xfI67A/QR0iwnhvwHnv2Fq6xMGvkBqi+qOvwjn7xmXE3wC9DLJFSAFmz8OqvIfwNQfNgV2
HpxjhcB3kyHqB7gwGui+kkqIox4Xiq+dzfkttX50wohFr/EA6R7gdRMPKmFoWngHnQICe56ohscv
ooI8gl0F7AsH/l08Uh3/esm8X638usU6Ga62YE/w3ttvhNjcRdYQusdMu3DyEhcqlZlU5+QZ0Q+3
aQG5DUxnTWwEEX6/vjanEDvwT1AqZiyBhR7SYyYA2vhuR4rgGTeeSttjFEePZQsTQw0qDS+Ww8jb
eI0gjMoMKo/H5PlnUOPSLxacredxxh0UH14CsZt5ck5xgbFVTt+/7ws6wK1sa48ojaAhZE754hgN
ZX9uNQ6rGUH7apYcBRndtbV2KRGuEnuibkQIZq3pzFtM5y3f3ygF52+Fc4jR0qd5BK6DZDxBSwM+
6rKEIMWgPoO2P28lOvLbBEsfWLwM0VYGSgtoPG0YJiRAgzNADDEfDCmJdsj9OzXOi3fA3LIfIlyo
LgnQQ3udGANpCGTzHSajJHjZmJ0Vwn1FSJI/kHiJ+VGybpIqoVIep8cqC0pBak5onYshizaenPoH
XPXhM8KShukMvRe6DS/AOwRIbXZDUnj7kRDuNdUgM0COzhYDaiO7MQnusDYZauenggHepq58U26C
ZAy3A7TZdKcdhEdo3H3vdiSCgBavbbEnBz7p7yxVJ8Aa/qCOYRAW8aayUcED8CPGsJwBuA7+rLkr
rRxGQ4Uq3WnIxm4sY+vGs4OoQzKwiePUpmdI8BEAtnJ5rZnhHoTGF2RVuJ5cDYJMqGwK4Ll71TUh
TuOOmCsb2T75dStX9jQTkFCsHbFWcifRVF2DLRn7mQC27y3+W7vcTHdhjyCClRoeUUaWtzMkaweu
nspOYBzZBl6s/5KAYxzm0py3YdH0h4lU93nX2308kw2PYn7dancEZ2urbh8waj0jcnY84Uga3TuZ
rQ7BkAwNNbFI/nAHU19ZtTWKJcOz/MP23bym3KKsbEVawZ63YkzBJj0LTkpfetmGtfc5iY3MuYTs
rwQieOJHhs+WLCFvr1qSQZF9OlEbr7MxgpUUNH3+vcoSFJor2PmL/Gz4ntNvWitMpEuN20TVaHPJ
lJbpC0NbYOmwggl41XUoG2c1O8fCdDL9iOkMZ9wkoOYSBdIzfgrVKFkV4CLfKJ4Wii6UE1hAPZKR
LQBJZWzf1Kx6ssjp6Uy/R1CljTn9jBPDNB1o2my1NiIi61Z1Jct4A90lhukUDtAoc9CxahXig7cY
LJJHPLcw+JK0r85lMqTNpjWd+qUj+veIdWbBpz4uolKgk1tGj8tmmHD/+ZxWVxnaz0sABkQkAK5c
TS73BioscACYYXe2okPhkGjI17hrwwiTqebXk/pAnvZCtEvrAWIf/JqnQS9RzKHQjd4kAwsZlqca
jZUyR/UVn15lXuCkK8zLMBoctW4w9XuRHaLFTWPAb33byqGT8ZzcDKozWgf20dzo9eWY2vN9QVbg
Ego6ODMmo2MErjdvOAms6UUoJc3mFGi4p80pj8l45zuarBjlaG3Ng36s4rFISSs2RPWipr7k05Fz
R9U+e5dtZ/GLda1rYzeoPkVtCnq8bwO7uJqqhJ7Wq8lJxVUrG2+IrbOv3LpmYaVRUFxJPGzLdRVj
9ACeAOeMhrm3V6buk/IcWY5PA8Uv4NtFvnSssOGFbt7KkfQ/R0RqU3XSfzZ0NUwrHk4erot4rqxN
HXgwxEDOAtxJW394qi2jvky8KSw3gUd8SkQyyDG2oZHnQ1d/7az+iwOx8KhxqxTA7OFwQ+iNU2yM
3CXfN0CD6K4WDqkm0xN7CVdk0c5SZn6RODpasJwJiTJqvDs7V6O38hMlvgldedi2O1YCuzVntFTD
vCjQGZ4TyVifkTybnCt/lkQGtgHMYZwYBOMIaZ0BHPVHAkRmHz+HyLjLOWeIgnDCRYvVormy2tK3
1xhTdcFKEaacIRZb+JbV4EzsftrL5IZ9PF6LWLi7MWLD70q4lG/n6P8Kx98Vjpa1MBL/78LxIv2G
h/ZL9VPx+Ocf+lfxiA0R9rVwTGmLsF/wmNX9VTyG5icXUg9cHqauUCo8DAn+xXEIPuExjRcA5SNW
3oQP/F08utYnqimSL5aZN90Wlkf/SfH4rmdmJGrBJ0JqhYmWi9f0u2aqHQ30pUWHzw58775da5g1
40EKxjtoTiqsPetkIkc1yy1jAKgkZwONT9LAXQ8b8eKzzdkWwkdc6Ef8Yb2ZiBuiW9zsLLZboyBU
tuKb5CjDtuCHJ/0PDIPll/1Q2tl08hAYFh/Bpfiltvy5+Q46NRRYRsoztC/jrZVUxpoyhQNG+yb8
24l5xq8vCITw4ZKk7SzoAoQQj7f5jtRgwEhqDFXHZ54Xnte9T5p0ocGI9nhAU9us8tZoDxZ77FM4
tGE7rpWrffcQenSsOxGTv3uMfOwaVrMmI2hVeRHTL5vK7zqoUiTPdaWA6Rdae2FbPT46UVWfEVtJ
dhGTOLAeShzprVrZlvNakMtHDThUPGvD0+NtMQMp2dYsXvqqqbtV1i4nQ8gQKd5KP1qgYhFZ9mrw
DGZJeM10QKL4NakdbqLTxeRhmCBxNWiZ7gISSAfQZnKNkOCkvrEuZcD0ae3H6RRv0bgM8ZZR3Hht
Jm6BnjqJ7TsLFce8Sv1u2YUkGjkjmcbr2Bv4GaOdBuMWn8fmydYDcalebbfJ1ZiU/CLOaOcIPJOM
XyQOHJgJtwYUWjtLrA7DPKgsl9hM+8bO8yevebThzCenXnZ8f7D6Zs5kkj9vZ1nBi3cKe3xoAms0
nh2758mlHXFibJv1WB9lgxvFWhNWN5NQi/ANxFfzTxuV8+vsTIPEjXOL1sqgzEsWjRJz4JqEeqSQ
SIRTrK0q8ZLR+9+rCaRaK8kfR/oBDN6m3g3Gvvyrza7lIaWTy1vwXDhSjwkmDM3Bnc2y3PIcOddF
yjmN4L9g+jQKmLafp7nmteolyO8MY88iOc3LK/GXhxOSK8z7I5b3LGwNJmJp0RsLVU4PF0lMRLoR
mGiaGWuOh0WAGKBuSi0SROTEIixQzwMLe/7gb2ptF1usA+JNIVprkc6O0x2M6/4S2AJEvcwIiodS
rtD+Z724mKbYuze0b10OuimuHSePX2xGWgcYB26wTu3Kf6niXD80jpmN6LL4ZJMBtrYedB+sk2xB
YssiyqeTPXoC2Vzth/cG3t79jZ3OhrcR2uez0dLn8Q5p6ckrsx8FTpEiNiqcTVXrWKSHu0EyO8x6
XMP+xpydd4ellTu8Ttmkmif+a5m9Yh093qalyWDKw11xXcd8Ix3sRLVm3mHdYYPC6ylyo/VWRjTw
btG+FQy//bp54smwuPysYlHmTT1Eu840mu6Rqm28BXdkIRizzwNO7cb29jl0/zOB2L9ZRSNeXbHO
mDRnkT1eu45oD4p47/HcqRSP3q8VV2G0mc1koHQMdHGy4bn44aJBVQJktEpyW97l82wY9wbVQnsO
vdGQ19OIjHpXAKQOX+YS8P8LrV6Z30Y6Q+NJ6dQywnac46wXMHieSp4lkwCe5WhS5DLZjXkQkJfk
ISoCbGVcdhUi5FuccNZvH3I+Gry4Ghm43Hh6WRS9RN+xGgeUjWzmtX2XKgOTEFg2ifc4FoGyr7KI
Uh3NlJXX33xnsCi6AhgiQVFyTSOPs/HgR7HMnqUl0U2uhMLTwIGamj9IdggrwQViFvKqxtzMCwDF
jCjc+kVsyK2d44i7grKanbrW553TcluXWT8740Ogojb/Q/iVbTM5nNo42pYmTdxVyfkzt4gvkD4e
o8oOSkS2tWeax8R2mOxg6Acrw8CNH9eRmQ42jYPLCtPMR6FVxPDd+uwT6zCsrbJWX/CNMbYw+JMN
H0a3dlScHJ0ijLCEIQN6Vab45VqONYlN4pfiwLzOW1zws9ZIIT8Aiu9cxjYVZXUzRRWbTH1smsC8
70Rjr53SfDYY0K36Cg1NPlWQYZNhDA5kr8dfiy7y/xhjJ8IVQlZXZA2fq0G2Ex51crwhuDd+Fo6u
tiWHFH1059zC1qqeLTcpd3ZlMiT0Z9p2s/fldRhPOXErOe2gTaj9RdrExRc76/xViC3YbjZ6BjfY
8q0riZIQtlJzpYu5PBfMpbYKwd0N23rznIUq+azd4nrwzTHby5Yk8HYisNkEsNzrtE4/x51XfCG7
pYtpjSs06hxgmyJv51NhhPkOy6N0pQnCW/R4zNxS7dR3HDrNYyXKJtlkM9BGkJr1Q+J5y6MlsHkV
eEJVa89X42Xjjc4qZn62iYEfXlPpy02B1uNgL9E+A8LSSxF3vrtJTFEROT9RDmw6aWvG6GW9D4p2
WuhRTn30E3znYmHdZFHd7E1cWTcEUDeP6MqYGWKh4v0/9s6rOW5k29K/CCdgEi5iYh6A8lWkyKKR
eUGQMvAu4RL49fcD1WfiSOqRbt+Yx3lrRUssAgVk7tx7rW8dK+Yo43Yu3eG27UX04DeJs9e6Jd/Z
GtBmkiQXDySs49xqSd+eWbDnAyz0+ThpnPuXPp+2cydl2OMCDtthzrANds7jmI7LF10vsjNdjOUs
K+kX/0zLR0mEaB6p9gqxIpHo55JoLmPR+7IXJwyF7GEuNr+UxZ9WMr5bJo6MzPhXoVaO/LfOvFcd
fl8i/VJNAi1jVEl/g7Yfqv+f2m1tXVpetrYeVd8whatWNcBksQtyVARAjK/sHLHM/OFTfxo7cNku
CmIi2lZs15r59GMlKKIlcZPJ9k+cmJqPEHpYmZrepMj5/dX9JER7+xz8KiR0UW6uet0fP2dMamfo
/Dg6CXoELOq6ZNNY3cC2ilix/vmHrWJFbid93V/wtgaLiBZThdKsRexQr67NN2Wrlg7+H1q0v1bS
jJM87htPD6zmnyWgbey7Db0PMuCd2bitVjegDZCdAXJfnzuXge3vL+1vPg8cK8lcBmA70GU/yTEN
r2bdKEr7tKgkev6+B1aJzpZlV6sYp0sJtf7D7fz1GUG+ZXOZOhR78xfzRF2JVlcFZv5hSNcka/x8
ypj+FN33t5/iAp6k0W0Dq/vp+S8ic6qitHNOMY5ROnt4NF3vj1jzv/sUDpSeba+C3V9EmU5vma2t
cS1vkl0nRfeD7/Z/8C1BT7UA7nHaWel7Pz7teYumr4FOcjIjXMTAsPlOxhnu3RYtsHHbN2pc/nCk
+3X5YE3nZeayCCPiY3/8yCodo3kqHHHCbuJ8MHDcIqobKUUGwjO2FUZnM3C6hcXr9w/kry82zGoG
NeSakgn2ywNJFGKqL41tAnvj5YpocZ17B6X1kmEt//1H/c0l8nCgiacGx/v081rl0jrio0oTW+xq
xCyN+rx0TGMKscoW1hOcWp+a33/o310fcRUMQnQbHe/P/oIRs76V+I5xKhz0z1WJ1rXQvWTPQeeP
L9rb+PXHc7lPd4KOonB91/v1TVvFcjqvMxq7DidtZpQ2tFJXL67NuMhboLNAuKKZMllN1HUotubu
dmwBBu0QPgkOFzUyM9AKXwiCsKg6F5Ctd17uNH9K7vt1HYKmYbmr0J4BHaOznx83e0qh5PCElwzb
wzTCe50pje2K0EUetcynrP/9N2H8+u6uqYvUlcywMUj8LGaOC/olEVvMSfM0al3lWZwfehBCXzxp
sGMlTbQ+71lq3LZD0X7Ef7wYGyv11bXtzLbYt/GwtDuqJAy6YDWSze9/wb+7J6yUPCtkdOuMPH+8
J3oLonH0eOvLxaPo1u3skxEjsSR4t0oxNOt/auP88mw6aAZ4G2jl8IjCIvvxA9u0W4v+eTmNIhIv
HegSepxtxWOqVl3M76/u7z6MvhGuOMJc2Q5++jA0uD5Zcf58UjGCyKwCNgeChVOOrTeckn7/Yb98
1VyZt2Yu6dZai/2cJlXmmtF0kT6fnMjmYBmnPU8WLyKnxN9/kLkKbX545Zhs4rJhR+DiHPpiP97D
glhh5TTuxAYuk+5O5wzHWMTreiKlSObpzk020gkRMfSGZEqQaxWNa8HMLtZtsG7VNUlz+gTaxGEJ
lRhEkcVFeKhrDq0sul7WTid4meN5m3M4ntDZ3PUVZK/yny7Eb7Gk6KvY13AN/VyJwH9Gkld23clc
EB5OyFvOIEzSfazP/7jo4aN4BjCgogJ1f5HSYCg3+1HBdZD40GAlZFw/aX7+Fl55fRaV+mP/cN29
/uNbEmxreGx49VGP4Fz7+VuqltIyWmmLk9Mq8ZWEyvEkReQ/vzVEHLejq9Muhf1UK2X+YQMwf35E
xOruYfwO0XzVr7AH/PiIiAJlKgLp7GSAWCwXqGiew3xoxnFvmSGiAO8VilMuGPCgEoRHjoa2smSc
Hsx+RoLL6GG+6kNJF3HJ135NK921rh8QFTA+5jmSJZRz8GpGeuf2s1bxk6bUPvgIydEX5p5V39tZ
hzh0fbwKjc1gP/d4P0+jnJsuACuh7uxJ0RrrIlR/55zGEaPddozX3Ay0gze2ruVyoxt5eT/RbYAt
32t7JVLnrp4NDay5y+ScLjbgQ92Fx3ehLa1XYefagx8kQjaXPhdgC92CbMBNTTQMB+glPQE0Wuf0
hT3AIjKSFhzk0KZ2T+9bH2FgWku22vEKctYXeE9GYXyZpJfTFNeAH4W+atZmKPS55G6cFf/tai0m
BKemRYnWmwH9gcBdDiVVu/B/l5aJ41vxOeYRnRcfN68ZtA3vWlLh1/1GtxziYG7EqydqlsrPj7Gn
qWujljK5Q15e1Jc8bsf+vkO1XW7QgfN210bZ5Nd6QYfMGLQ32h3aNXXNSXW/xI5T51fUo90XhWBv
ocOb2ctXy6kGcSNbY21FTQVfM1wf/iGXbr/YmO2XhwZHHKIyMxOXcSXp0dEAeEjke5+rndMAn9rQ
B6Fz1S8JjXCvnB1ri+uEnzjgX0DKP1nVsVXZoD2oOuWj23xh1/J19J5tkBREIryrptHurwYw+m6T
87gkdxwXwRMZswvfDt+HOI6j7Nwc7/+ohQsTZ/AsJks4YHeeoKoaOeKa7pS6FzEiNzkmEH0i9lUD
HXQtC3paXjN0y17hnzYDZJZ0GZEqKvloVLYsgCzZPGBE9TjmrZZK9oa3OoCePU8ftCJaDYmDfOsE
0AB+WUQjxGvpttXqm98v0R0sMvxIby04uxj4ZaxEGY8iM+2XNEqSaNsNHYa+76+Vs3ot9PWdmVyA
yy8VCa2S5jzJ7IYyEuRz7IptaPYoYkPp2DxFreesLoXC5r6a3dozt7JueMXVNo07haPl7vtoBs3R
S2RbayERC2o7r3axBxnZ2omVtOeDhvHpAW4YHfi37c91BpqMCb0r92ITBLEEyBhUtoO+oHdnBOK8
pmWjMWkoZsGNZUoqrF2GoTu976qWX8TQ6Z3smsLsrtVitOrToFxLgzzp2nl+9WrimG9sVRiPDmEX
IhxgPc9fPY1JxhajoSnuZ6OhC5zM1MYW79/kluzHjAGSOkjoFvCsCKY5+HlEb7nvKcyJyQhs2cPQ
C4p0bMB4RhEK05Al3M5Ohezo1s8FTUmgP9Xi0RHApnAqdV3RaqND3q+6lmUYs+n7jv//56R/nJPy
1vxHzfKrITytqq/dT/kvJoph/tW/B6Vw7SFF0MiB02BQxFCZ/ntQ6r7ZunXHe5uFvs1Q/z0o9f8F
EB5BpqAlw9HNZdP9dwCMBSgf5AN2NHiVPj/5Hw1KAcD/uH/rvsEhmLB5Dgxr8J7xU/FooScte1Hp
50rX6qQlokI42gYwXASA2FDNNhcWhJzZGhu5Uxptna3T9NZXpQokUyU6EuZMc3cDK0j4NXY8XBZq
KYR4Nnyqq83UGa+xZ8ZPJZKyMI0d+/0Ih+4Gam9/txA3Fe3SOiNGucYjcxNP/M9wdJTf7LUsyQ+r
QunsZmhNMCHeF7K3XrUJhOuZaZQCsuyY/WXMYPw+WXk0uJduaRfwhYUzDaj7S2v4kr0Nb82OaBmn
1gO4O7tlhsyJkGTeWFK3sCBaw0dsQBOzpgEY/E1upeC4WlmSqpLz3T4AfS5R05lY1bZNESGnIwEj
iJl/LaFMM9qriPVAxQGVeXDEYB47t0/2psq+FNTl29RNV5h9i7pkpK2/hzdBco6V3zkZE8wDf8W6
AawalbC74VX15D3LAEubte0N7UXlQgWenpUTaECXjQK+8Bb4hI/PBnjThj5haxPbo3VXQy/sm9Fn
HmX0g2scB99vOfUvfvS8lJ770Lh29Cj72fSO+HctbZN1jV1AIhOszK6Msg8jKKWtBhklzPEKcA+a
MWgHVZ0cvy7OfeMyCB/KKV0rm4jZ8DxP537o1wifuEm2buos17aKRarvo5jpTG4AM+4l3SKznwiM
m5ZqQ/NoROcTtdnOm6PoIOrS/NAsFnDBBbzHo1+4hSD9ZXLTg9B0r3hOJZHNTzFBz66+HdhjFbEy
gJK7bs9sZNa7YxLbCMPKrLBT4yXu4D3xzRVGYNuFvy07EZrw724X7C9bpUf4P7HzHeldX70kcrYg
e7ESEWiUhakNpFfU6HoSx+9x4kE8CgqkXWnQ2SYs6yUaAd56TVBp7mNOUElpm8d4kDf27CHsmdC7
pTUyn6Ul8TbfA92LTm5e7Soq0ydNS+4V2tpA8jE7fG19gMP2o6FPy44RQrSLxvmBbnp3bIGQboHB
Zpe21PRjY5P600etefIJXwtyytltp+HGKoVKT4JW0m7y6vSsFfNy1FteTdMpzCd/Nj9VvQck24jd
IEt6DTtTNu6QKvb9ibyN7EhV9iqpJk4yFfG5ZTKxWdDxbcH17hmfhZ1ohh3ZN9wfDQJ3qVVh3Gq+
hscmS8I4Sb7aS/sBJy3caaYPUBd0UHZCQi0GdAGXdZjjVRdLbiv5B3sIVg99qnWBUaeI7UwbOZKE
vMJvn50ze9Ykg8e+OSLwGL4CR5sRVFrcHF62Q4tUC+OaFVTxQp5E2+J4sh9aq7jmXnpZjIi6dCAt
yFweU6ff13rnn9x4unY+tLWlNDcAoLdxxt2P0YR6o3jq2nbvzeomMzWFem1QO9kU/XaMGKbFkXh2
sLQFU1V2G6MsvhYCuqFZTQ5e7GR4SDVyUVvDCP0e2hswKRbB1LsRDUbJjEyiQPd8IyBrVtzrMNq3
pZIVw9Fx4tlqiGnk+3D21D1dqKHgPHiy+Ly4xL1R5Psnh+XyNEgmZiqystvE7zNIZgTQ8VYY93HS
3o9Zt9U8Lmqpq1vlieylWFezfIjcBvN6p52bxhTX1Gwd4q56RLCIgHeNanwMbskHXesoZ0z1LelL
4xC7HUeUtC0CqK2kcDO4PGF3sLYdy/p9b6HNBE3sH/PMvUaOvGcMru9YJrxznWmTG3a5079nXRk2
5uhGY9BYfXaLrnMM2z7v9zpf1E6v24GJlp1cLaX8G6l01A1avxFZ+RHqqBkyksOqV+4q8iIClTVu
sFTdtXMqVhcMN4A9sh3UaItfrxYviUgh3SbsDm0U4q/192nWPxaYV3dmuUQPUz7dNForQ2X02ROy
lic79pkcaeNLt/gfnBh0+WA7PMdDQ3xDATzdnHZQCo+1k+19M4u4i624NVGb7idPfq7s2d7aSAcP
em8+NpGbr2pRBgllUoxnu53028SwroPfXIoueXZyE3AqkDK9Fgj84AvitV5VnIxehR3m61raaN6d
11n7Ls3UVfHV4c0bY4DgzuJ9yqPY+FAgRN5Iy+VV0wQnVne8wc+2Hdv8xOm439lja56RwHpBOzYp
Y3O/TsJ8Lrw99sHlmNT9oW+y05hGOSpvPQ1j+EGMKrUdm1kRLpGPswmTGcdCMYjPQuP7Qturebfz
oov7pFwZlK5sb4CLa+E8jfWWYIbktVGOCCdzuKi0ZU+YiidDjIcKPLw/LmysmY+/W/YPI31QmArl
ZwK4Dr43f8jcvNiOXA/CgTpHi+im53Fe1aqlsRPw28wwtu3lVkEEBR8ctc1m4BR2tlM73s2aNQfd
EFsfo3pornSP8irQGM42SMRZmcbSqu5ibcRIV0sosT37WkNMyWGuIS7B9mp21dAMFxOcKyoPk8PL
oEPZtrQndOTr9gwjunb8QPPs2wkCzDNijeqdHjej2oi5EFi85iUbrlWmeUe/y5eTGq0ngUfhlYB5
LT5EJdqIne1OVhdYhTHJQIga4C77rLkde/9zqY13RuJibRRTf+3s6m6qNI0DpHZfzsnwDsjL+05a
cocSsz6R6PDe68jwJQDtZBKJtaVxOW5MMNCfWF7FYcLk+JIthtyig5JHS2nmNqvHZO9AkAw8r8nD
EhUoXIXxox+j9690T7uJUSs9QyaYApJ4vW/OQPICsmkzsBOreCH8bH5wJw0hyeB9tHK7CYljcZ8h
XaYbLXL0EGd+9ggTV0dPQfPUd0kWtSx4DUqsLxFfWBZA0ofHyfyb95pfL+YEsy2zL43MX2ddc68+
gur3VjdudSbxt7AMbPyqbNlu1hjYHFMpEg7FUgSNLoszvrwaRumADaGr4hvDLA59HuUhbG14joNf
XxFHtJCyvWS4J7bCOyyu077XFv9Q97N6HIEZ7Aw/9dPQB5F/IbTlS5t7n1mdCyAbjr/hDDc8pSjT
ncry942PUdtG5LXFt84GweF605ugXRPbpP2i1ZmJ0sJCjWPa7SUzuiUo+m6+lGLyDxPidYD07Wfi
0oxwQH4Mrr0ZjQcWyA7B2GAVXuD0WAv2oorRVZQiZ/PqtOpjy+TwHDuzvSuoBZ9XK/aMN7fwVjfq
bD2UiWW80lBxXkVaEcuw9LEfRAkiXtrmW/pe+c6Eg4DWCSs1QIuTOywafFasqJb5LuKgYvHeVlg5
TiCoNyWVBySAdIzxR0QGfcmzRCOxy8sxfvARtEvjhkIrLKE3S3/BADB9YYzl7FsgnZuSeRnG/ngV
p5AnuCjbx3eg7/nWTnZGuCMxE82mqOsMQPPwaewF9vWlGYKKmCc4arjTZdSy/+U10UwVhNWo6QN0
bsXBQmgQJDLDuqtP20hat1mSWciEHLnH/eKd06RERojSGi+7j8ws2RVjK6/E24q9brwORULBhB5i
m5XRE12nMihacxNpwgJB0TSbzpZYkbMIWcFcbd2WOOmK566UqgsYrBlhrVUNnKBxg76oZTlJ7QAB
5RhgnyF+Kk8+TX5/cSjwd7rHLQZH/oQHtt6C30IZlJbnycFynxkeIjpFaYi2DRhk7DbsiUV9rGtx
9RGX7EH2fy6q4QlVDXlAznLfl5xTzN4GeooOktyEftOIOQmsxpY3hPKNUHQ185mhG9rroiyfVN/R
QAGbC/lZEwynJIj5Gm1IwkA1MLOazlq5PEHsQBGFTitM6yj9kktjYyh3AUzAU64KJ5h1Qc6S8qIn
1ygusAIEHhvwJUNbfaP4hWibdFsjW+owIbCTr3RE6tglpE8P5ZMUWbopoIvsQNT4WyEodszWs4NZ
y4obMorMYIbxsyMGrr11vOhV72S88XOFkXPK1X07I4X0O8cI58Kl6jFw2+pNdlupebjFnxGWdTuF
SyfXnok+32J7P2mGp2Omr63QHUekIb47XZj6fqk5bxDq8dH0lpe4cfau0Q0XjrkzNyNHWbMcIy8f
t6jS9kXyTfPagfDRTr8YXdYc2lzetelqsUlYHpPWC9EO6Lum4XiLmM7aE5G1N2vboFuVnUGrsoFm
OpwS7wmsLAnQ6fKi3OFzNMSvdZ3z/NTW/dDfuHX0VI9LD1e3ij9pGlz7AWAy5N4ljC33svjeB6+B
9OD79T5ncwxICSIrCh5yoFW6cRGiuc8mqjOty/SwHxZSPHJSBQA01HiBFu2OCIvRC/JSLWwJWcTl
shO0iGKaZDd7XneUPMGfZpl8tXKctlaE8yCxzA6jkIDXAsC6xMqUlTUZ0EZ5y5ZFXKOqrYICr4bs
QRxYdT8hqzyMmmpXkEq+z1ItlmFjwvQPaygeH03wlKGi+ckhp2mfpgF3wEgEwZGqOgdOlFR74Vdi
18xLfIZp4+xkNTxiyUBRXfvvfG/I7qpUM77ZaTeclyR1TiTvEBtazPlpIOtlZ09CPooK174nzRfO
8NlNXgkO+DE5l0s8AmKu44tFxy4cULDf0DImkmVRam/VoIqykdPSSLDXrmeqsZFpTAFQofmqLLGJ
0Q2CsWFel3Z9vKG3oTHe0snfGpAXN5m1NZMieucgEyZ7en4lAMkPStNFtFtwxyhqb6qhqA4ym4+2
HJEtTuMt8jvKii5BiJr7nzB8p5vWc9F9lgmi3MauKIPksplyfnzng8ng3YkdRbnHqX9H1nVFZ8CE
b0APMyG46UjdeCRBFaV2UY47lit7y2o+89Xb1bYATJThl+Yw5V0HHGF7jsJ0XCyVfRxz3HUkAeD9
YKtmF8L5Rgha55/x4XlBk2fkPETkpg55GWq0vPHQmC1smk7HlFykhy4XRihlkwUoCfVzn7f9qaut
b+1CShUqKDI+kw/mkt4arO5bRaDBHe6f81Ln8Pb9nIS5ophCDVXZ6qzpNzl67vMksrvURNyY1+VN
7LjPted3e+rrNlQNj3+n1K4y9H080e8oepuzjJ3Ma7ALPwrhJsLH/utSNygJ+5uZ/n0gieZdSP6g
y8A5y7SqsAQuHkx9wuWBLwdaHqItZlW29eiQ1AV68LyxKVrm08SbGg5r2Is+9KyRtiGJpRpfRzd7
BYV89ER7p1BeH1OyYDccIc8s0c/kwlc7MagtRy2eZLr8YT92AByMVL9djMHce2qijbKw6dLzRbVt
XEG8HL1s2C6jk4dkulQ4sZKlet8KjbbJNE3ezqTHzNp5Ned45orGHsPmxMnLm8CScRzsNZ18cHj1
dAQ2RpROpwQ/bUDa8WvV1/59Fmt8kd6agNwmGxSHyxOKijt3AWSqGsMkkUDf9Z3t4gaU5AlTKGvE
VrgzSYxu9lhGyVfPaG+7xTznnvMCyZWu+EtvlPuh977JcW445qbAWowlC7vS37SEPxtZk22w439r
epmHhZZ/SsgU3rZr63/l5ORmXdNU8eiVLJmP97GiF5AYC2ULvB0inO9kwgIddoN0FDJfQoLBuZsn
jZq+QVZboPcfOZSP7Uwq8sBOjuAdX6DetNuqU5XcJL3LXN85N+R7QYgKiZZmdqPyYtjRxUGBUww2
LjjDbdmh53YAPbXIvYDm4mMuFfKYFi0DEFa1HtuqIe2S0riFXkJsr9M/amA6ul3pofbcSS2fZIhP
ilabwxlhZvkwByhQwjdaskG4R3bU0HMgBELHMuWJ1y5Xbt4DbfI7Ohbfx83/r/v1+6/17Uv5tftf
6w/+THHBOpf0//vHP3bf/xx/rdfu9w9/wJya9vP98FXO16/dUPBP+UF//c3/7v/8Kzj9D514cIqr
K+X/7liiAYhVJH35T8fSX//or0Y82bMmPVj4DQiwPJNX4P804j3rXw6wRiSWtHLXnjrd9r8a8Rbt
eypiQIF4iND26ZiZ/mrEW86/+GlM2F2Hc7ZpOv+Iyur+gmFHqYjEFN7nOiyA+PGT2sEbnbqGI2Qc
PG+uiikYay+UMEpo987tJZ2sraqiT3Pl2YxzCW140ocGNhFmTyrheLi1ao57vhwtzp6wFvDG2N4d
4WENzYGqeKyrdd6NXuXYRv0jaDrlhfPQvgAxyiVJONzgp05q1fObcacpJ4Z5o6nJL/bq1qmT2L+I
Wdkvld4y7VQmDgSip/hLq7D0uXdq7SvPtHrKrbpUX1chrZud0k5Mt0ntbiU9LvzP2ZmpWuPtnTGq
HoEtxn0WxBpV5tAjZ6C6qDXeLJsjALFh47ZZtfduS8HXlWkrNgiE1a0hFY7aPPE+FXlBtFDXjx63
BRfhwWBKfeHwCDwvd+ggoRmot5E30XoyWl0EUZe/inKpzvFqIbC9RWxsKfIPMuugehmR2Gh43cIi
sqZnqun5WlLkxUfRDQQVNGVzF/mL7uI+RbWqq1H72JPgseFAp54SHVU9aDL61u0ytu5z06Uj0EFH
4YoAy4YcSmWR3u6iN+OCu4jefEeRiehJI8HvUbaMOIeGVI3AgT738U3UgrrLePzuV/juHnhze/g5
YgiiKCb2hTfxTcFeiNrKKphjS0IqbzuUOwPAww4BggV1CHOOPbInwIlDe4S3grnnmwrFkAWT/rf/
/C4D4KiLpqcdKv7e/GZisq05dy/Nqgc2/YU5LVP06DkT3qprHRzv0o8r1LBIwExSO8EI+W4Eqno0
IMagMdSUHvZaHk2B98mw+UpZytM9myyiG9X71tFKevulUUXb7QUZSmnAEWw5+xWJ9cGbltDEkMFk
lyY0aQPrTTFbThvUHszckZzN/AITM1okCjHh72E5Rmgx3oQWccS+sLFnaWFTV4wVNp5bMw2PxmJ1
wvSRHh/7ZhVjxnXWf8myGgIl5mi88Ryl0iCpW+bocI/QOXAeJOAjcN7058Jb7dn0wPhL3tLjgFne
XDhyWgEQb2IItghshSrha1lWMeQb00VoDRcRDaZ+x6HbIQWPT6Tnju5g1JDsTIXBs9mOJvc3Ww1Z
k8wZc9MwZGQvJpPBtZSGeNHnmXG4iFH1OKtiu8Uix6SGFNBDnGa2uI8zRJ856Qj1MbVS2Forj8sC
J5Py82Or4LLmktyVJCqc98wEZu357bf0imWID4zF04o9zeaXtYmYwz0NK+mWoGHEKEVOUm7QOROq
FvoE6CngLqP/QsGxOv/0VZ/vrVOZ2372sXY5K7FS0o2/9eeUwtrzY7QEbLjgk2qNB8JfQZvfpRo0
c+VB4HWad2nbFN8W7DQUjo7GZ1U0feogtjWv3NcDGpazazBVpJmeq3DdUIkw8c3l0IFXu+qTh1sr
mzFR8aRZoV4PxLei0sTij/gD1Yw3hHVjA2iwTY0jfWcCpxpK4uLCmTnbLeyN6Jz5s/+MssVJNkx5
jWuWzITSM4xvPvZi6KIdbAP1QFvP2nMyK3cL9VGoj7GNV7zvPmfrvDQo2HSeC79QD55DMeaakgfb
lJPkYrgBF0cXGldXroyfpUYtHvY4/emP+AjHQ24ZGU3Kt116fb77uSWT0NoaxPiu1e2EwMukJj/G
MCSPqBlXoeEqQJfEU1ycgUgUPrCc3k3wwLdihCa1hbPBOA4iDwcXKRp6hqm1JyMnSULJjnFfGU11
Lcaa1KUxx+sdkA/EKKle3J02yfkrrC7rFMk+PWSjZ3wpbHd59mIEEqRskT3ZSif9arVqehxsez42
ZVVu56zAjpRqTzLT5HNiim5DWA1z5cL38GManLmY6RUXQ1Wc3H1V0VMpKSpjffmKNZNZEnFe3Zlw
MJcm7VtGJi1+6+OcZ92ZUBUyNMmEYOC5yPyGgZxN625N22SURPImUT/oQAh6lGssp/2W0Lm8pXWq
uZ1P1RrhWZDlaZA9AJSSUBcZ5t7YGZciZzW/X4SVHEfd3/dMpnfLaI1U/XlzMw1VDaRgiO6qUbKa
zG7AwbUZrkZVfbDiyYCO5HdLvB+H1Lo0OUFoTxFux2caf/KhmMRdQvv+in8vDqa4M64Ror4HRnNJ
UAwIOt61+JsPKOFJao8T/UOMrfEsIu9xiU3n/cDpY18ru5YYG9At8n4wLzuMSKt48acDgx5K3sa8
6zpggQ6OJHtb6Il+gZ5VhHPU9vp9l9SE76H53xaZJNYvsyRjEPgFzRYWSqVvkiiZPkWNKkk9FoOd
7UBTDuVhbosCMSaBT8ii2jr0lN4/mlWOLAUxKnonsmTeDRD74L5rzXF04PCs8qxPiu39TFDpcNub
+icEZ+2agzr3AQifxgnJMuovnbNkmxFnx8PsE9wwq8y4Z47cf4MgIj/NyI3aF9XrxXifOjKKzz38
1WNc5FXYtPKDOS/RfUJE1iZ3ck7QmGYvkD2tkLytYHQdMq+ASbyTsne2nWnFczDDGCn6SV3aJc22
kT2b91najx+91CFbtEycOx8q6js1TMxQ8yop6ajQdb51tSi/IRzXJDRu0LV7KCX2xhUDI+aycINR
OOrUdGX1KR16Edp18xQNjX7KdfncsyVuE4RUG1o5Hw0zPmZglS/abIsP0xRDJoR+iFQs6oxtxOzr
TPc6fmd59XAzuPLgDRMzYNfsg0Q3gPLg51PiMiW94ApJiDITAf2BY+NAWsWs3XIsMfd6mlxKxqw0
Uoz3ALBdwohxwkusyCEJ1DmHw6LYGLSpWQsbsU0Uc5DY8qNlEwuspZXDFr5bzRWAHs3Guvdi4dx5
WLMeaknfL5AVwDwQP32YL2qnuf14U0tots0QPzl6ixtfaunGWFMg44oGt9+X5UPKsIITOipEjH5G
ulEm0+9to6/skN6B+jl3SXLH6NTa5ZY+P4IOHc9zZ61gIP7h6MT1DSvQeEhVl3abvvTvrR4UaFMN
6O5oIjdni7yiK62tYgznqpu20CmhxyY06U8DtJH7NHX0jYycI1wa71LDG37SuyJyAlJDn5Mh+YAy
Iwpt2/DIb1Zj/DQ2fhu4naJj1nbWyWlKdVB6bAbCT7ydMzh8D1BlJicoS/DXoecOjtzN8CJ5E8o+
DxtltzuB5wkwa+LTLUAdtm8m4TGT4cLHRsmHKKvdXQdnMtuyHU4HJrp0jQo/D7yIzoSSxhXpAt5D
mSWwMOcYoomYhRXoyTyclRQoAkxTWTv+jbqBZpl44Rr0+wVEtvPNK5Jpm5LZR/yf3xefG9dtD6uq
c1uspVVTdnBDR0Qui6B5RZRe5mxTrW1InR7T0Bu84WZauwfRXPThjNGBwbxLi4CU59uF7Dbrif0t
v8EMaiUjUZ2KNlCfIsPO7fo6lCp2rgXjBQz/WPGDkXy8wKsm8Zobph7vfIiwvEA6tWCOgBf2t3qI
x0JdqrzrtvMA0jjMkLjfd5QBN2bRMCquZiv+4JYEFgMGzaixhP8xHoz6ukTTGisTJzt03vPF7mz7
toX3Cs24bbXNUNvDiW55f1ZGO+9hFqg7w+67x2QqTzRNzo23qA16m/Zd2dXdZxBI+h6ohDwZpJXt
Zew9U6hNO7eTm9GV4j6D3IrWb8xzjNOqjIsT7gNke6m/LDCyUOxmJNhUzERKE7XMYDE7VHlZIDvx
TUaeGASKAIc1N8SKlks+SK38PI+qu9P8eXlHg0im27hJ7eHV65tHOpRVjqQhHURk7sv/Yu9MduNI
0i39Khe9bk+Ym8+Lu4nwGMngLJHUxkFRks+T+WxP35+rUqiU+lZmJdCbBmpTKEBJkQpGmP92/nO+
Y3C4nSJE9TaxvIfaLJ4p5Z2TKxaGXkRwW7z1U9BcZodBLmW/PZzoT4QBo7MlZ4eaJSzmJD09z2nJ
/1PTRhF4vCMvjIE2LTZqhQI307NO7HprW8qPvbtYNu0dT78TRoLSmP4iXPJL4MAmWUJyg0s7iS1i
br/Gp9hS0D/ZifroLGvm20kzLrL0XTO5/0Ey+B/QG7862b9/o8C1eSLg2SO38bOZ3FcM8y3x92OB
I/WNeypUg/67GZRfAyGO1OeaFdcz8+j3ZP3f/e4+oTTq13x7jdH8GhJowB94YplrhONGPrlIf2Ha
pgujBMnSejb4rm7vMQ8a0xpG//Nvbv6SteBFBpQi8aOQX8Rx+Ou/HfMb1fCRqo/gkPjb2YJjofby
Vj5VGS2WoW2uFaAj8M+rPm4YVwSaPXeAKvaKY2zP5tOf/0C/BHb4eQCsWZgc8Uya9v/d/xZMwyJj
LjOeUvZpspAfnDSRT3rxui/UIvxlluyXDA3f0KYU2ZEkpyjPhUbx8y+/SMaFZE1XkyNTwXWfcF9D
2+NtYPT4bmU9vCcF5JabePQHtFvlWhHsLtNISoqrMgAE3xOsblvZ6rZUo3lTsslrzkqa4DSSPthh
FGHqt3UVMasTKvgiYmEFqDh2rx+la2AcbmeQmekwcLfAYvFWO+PUP3agdrq97k0T30hFFsL+hNWP
rX7kz9zSY3zRXPBiLqD5SogoPat5nQp6a1ch+RsO7urRoj5hpTR1/PfUnTWvAtPYfB1zITbWB6bg
Vm0a0b028HPvA7zU3cFfoxIL/6ECeAVN+aAwws+7jpjr63cBpHRb8+b7L/3/tXAJnkjVXf2t/1mq
/C4//lPH/P9I3kT1+CujMcBoMid/lDd//6J/+ozRAgPbkyuMiTf3D5Ox8xv9kxCXVqLSD1XTFr+5
WF3c1fZL4psr6R9VTbEeBB7/geADiAz5Q9b9/QRFEf6HzPs/nKiO9UswlFSQhyFarHFeIt9QrH/+
WCnT5QkDoO6sHcESHWy5O/YbG54I+wXXHl9FXHowWhgK0mapblZD8Kb1eSdvq2DIdqaXiscMoWfZ
KTnntwkjGuVBBhCKwFNgGVPrDITfxEWZNm3o+EQPNzWti+y4YOtQceIkV2g99bWIcUJvallcg9LO
77za8g8MZ8kh8iLvYOcF1oS4NKiZRDw86DRRJ5zP7oVbFpsk3VFNYgGPU1Q2ozp6cz19ykt3ycMZ
IsjWSgbo88a6GK3q6KFubdDdqTHNp0F8znNdv+F68i86tyILecvv2Y8TmpnW+2TO0/p2QpAlbuMG
hdiuTfAnbD32MVfSeJ9q1X7zmjS4tbLKP9Eco77Gs4zabVI25l2aNAPFFZZ6sJFbz1nuCfI1ebaU
W8CKXzNRY8BxOB+4HFrYRCDf3MSiiq+6RhvvlUu5zQYmPQkR3VanJW1fxmBu6c9caTCJP35Imr5/
DIJ+xkFhaPV5xey8sPSAVzc4rNRdUOsDTr2AhKdfkcElSbWRIlWnxAlyD2OCqd5aIkTDVtrTM1hZ
lmZDVXwu0r4/Bjrt96adpu9aDMV1KtQt5DfnnKue4zPS+qqJGNwrx+v23ux3MkRewAwhlkEqfp9x
/oKpB7WXV2ngb2MA2svOKq54nkY045Qu/9A5YIdoRsM1xYnGMXNEcmCwXlVxO3nO+zTJUUEbC7lx
5j5cuk5m4nMiPokl0MrhqvDew5Frc/uyA93RnS0s6npMAFiJRu0qYtSu7dRVSVggAa2lLPP0LcX/
yGZ8XjOmVUFOp8mS6i4FF7SxcTtcxyAyQ9rY6QxQfnlpqMu5lihGC6rahO2OcZ41HPfG+CPtO9Kl
fSO2PyOsADhkV4mtocDoQZVPedSNRh9kp82a2a/MG2ApwX0cQdObfGPXQLTcJssYusq5SYtgfKdd
Pj8JxTgxZXiSw7EbFqxIyXylNWZWojB9heKTRS9G6cbGmUtum+2CyjO/YHPsBu6d0/AwwjaMduOS
m699UETsrKt2uDeHqv2kSH9tg2Yy33K8bGzkl3556ICv+Ecb7wG3Fj+oYQ4tQCNLa0ac72mJ3gyR
aX20RpFcgdO1P+NnEDTPkpSJt57SxbGJK/9T5gnvkjvzIk6kyIInzbMVayJe+rXfvBiLsIm7eu+j
9b2RdQo+4Gz+bIipAY2rLGpo3OWr0yguN51p1hUrgqh6yWI2qNtCZSwOsfyp197DwYI2kDUnP6r7
EN8ekYIe9eg6kTOWnF7dk20OUPxTPs8sGdHqfGXvfIJ4sGY9xsRx6HDENWloY/Dd6amnN7c2vTOT
BpgrK8G1qTDuomYOnGg4vbytETRcL+iAf5Cj4RzqVORzaAR9hHrnKfEqob1i9ucwHXmUL1sk/TQ7
AF8tTvFitTd4/Qj8BbXVPyg/tXlhvTJ7RpeDz9uaKH8cZtEAOXjGVesbU/Np9JYGzZVk7ZH6iJhi
ErF0tzbboPfa8fAyd2Y23iGUGRwumiYKNFvubAEc5r3hJ+0nyiymry0XylcwvubF6lI6WPqpQ1q1
kN4jYL5We5ssQZSH1HeX+K+mCIKRQdOTKZrHOO+a0M+DiVWVQr6HsBO6lXe2m6WncqUq7oOEmtMx
TqNTlnNs1qbdHmZRPsWVMxw6NZGoJIyNhsseywPUtFR4skd314pZf9HWOJe70XTbsLYGGq/qZASR
JvzsdhYU0AxXdtG69H3aamrSZ23E2DcWz65y8eIviEgSH5pl9j1FzEuX3UZzZNCilbm3ZsYSQZuF
enDLQjxAxY7vOBZn8Bi5Po3x9JE1fPXQEqh+GMwuAg2aZquk7yIPEgbEB+dVLOwROD+Ca16NDhMf
K5/uhDsxcGUGE9gC7C3pLE9zm/wqezQsRDg8iQ9wbPO0287lkt4MMhjwWnptxj6/LG+yQPDjurmx
Nztm201HNJWPOje7jak69xpGmntL+kBeHKeKMKnoPnq0uQKdsjSfnlhV+8QYR5b/ljaWW6qQhvLQ
G21N+nSJboK6aR4x1HuMsoV4x3dMQciiHPY57QCws9WfcjubKTppDX2MzWJhG77gGCOWsmv7aABD
5XAeDampr2SvvVOSJji8puyuLQa4Vq20bqOaXAqHbE6/t45WU7bEM17H9bbS9lqSMtR3Meiyw/p6
Pql6Nq9pq1dHjgvvwBrBuAXoO+LXkRPJoUAnX6Iewls6Yz7ZqHaG9uiIfjkvmO7vZa6mA2J/cBrN
ofuoorq8G01nPPJ5ooyWzLZil+Zhk+4m2to3ellESDYpwaxjBe39ZImShEhmBVugaia85VQcs7aw
bzHSRBftBfOp48FIVlFON5Sxv4s6Dd7NzpI1lFSnfUlxLH4SU5SfutpoDkTqDRrbR44a3n4JD2m7
sJztWi+8T8csZxnJCIJsM4V5b7qvsk79W7mgtffJemiCupHpQbP81DulpKwfqyV4AWwHXGxMuMoC
kWoHyN2VLxN801PwmqJnPpIv79o7VyGmHS0PLN9Gu27uQNBjh3otXexqeGNN9sDQB5OUFnmKnMzr
WurlUbVxOLNfX/ZW4nr7JnC9bQIJLdpm8XSvTUnEo1dFVx6H3khenMZy0jfp8hHfooELZ6cmgju4
jt3VZXExzXkeiXHENI8NZ96yUmF6B0trdG9tpFlIuvMzqZTqPRtn+TEg8vRktnFzhhL41FbesqM8
vDx5bQelfKApxqvnB7fQrxyA36hmf8t699UbpuEzMCcmCFsRQ+uc4dULjOzI2r+4a81iN9mlcc0v
hwUqJaOniszzN0uDx930TZtj08FsDPxrSKnoqJf+3nKmfNniVMZ51yg810++O6hdqaW+TzTzDvb6
ySmNf9zh/3N7+gtzCHtHk2vHvzaH3Hyd/uv8VXVfl5/uT//4sh/2EOu3QEiXKkYbtv73WOWPKxTO
EZ7pFgFJweSMXfCf9yjzN4sz3Vu7QajssGykqx/uEJ8S4LWWkz8R+Efgyfxyb/qzexSrRO5Jf6Qs
YIpFBgOri3fFs3G1/nyPYt9dkWV01DEYDVTUSln9buGKnl8BQnWuZqHa8TF2uuhcI/MPpzGt+vuk
McbykONvynHsjVj0CXsCO40G+nQGxcqtmeNtTM4pvScGIDDcVQDpgpaGPw5JmuPMxAq5iERPs6yc
F7ca3wqmU5TY8mlsI+exz2t936ngiRkVL2LVUHZQu0XE0tgkgsbWXV+GyQZY7me++dDh1OVD04uX
ABoiK2AjlQ9VNeXnTmFsq6k7xGLJF06uB+fe8eYbaoWwtRkmuzEtDZJ8RvCtkyyTN00N83ozllqd
gFQypthz3rxZIxEJPXUBJYVdhvmKF+o7gEh5yWd+/1D8qfsU+AVGdXJypf0DXqGg3mblcNK4H7eE
QfnCzpm4ashq9RK6ZVAGz2MGaX1bFb5AZe71xW3GYOtgijiWTBlUD3fqRFMq393EcrIhILLsu7QP
oH8ydmzQgBQG8jSVnBidpdH5/GGlHMTG6zBYziM32xL39WCZ18rvAnGYHLP4uOQFFtURIftFUaCL
Hj4L/raiTOZbvymMbzqZgu1stdE5T+bki1F0gAW5jh++/3zd+lPxzlYEkPjfk8Q8WW2qUrMVdpk9
9kIN1YG5ZiRj0GiiuLzIDG79DjDvkGy8PpUIRYzMCeuYPJ+uifknCdBNHBlHt+tZyyQOjNODpS08
fVmEE74y6vys7fo0KmwuG/KGw74Hnf7SEOZ092az+EQEclvzGCh5L5BROWdD14V8d9IZXeekzLrE
biHHFh8V8NvHhHH9pW2S7hpRPHjKoPnsE0sqNwToZZ0ZA+OrqOUyx8KfhTvo3Suj4ZcNLh3fKcNG
SkUd/8hMO8bO0bKrDg7N3ZvcacnAEPR017wZTwZY7Aff7oJDgTXm2+QSfNtGqiyBlluA3cJYMiCh
kYk+ucmLmr8roBx372IqYZq1rZHf8GZUtUdJGXPtQ1QGyyXVU761AA2HuhfRpXShUcOknvwDrHaT
Hs/E+khzTn4ofQANPP7WZMbcp6V/yE3RPdIc8OL0BRZ2dPnKnxfq0cZ2SjbZoA0Ql3lxKeNI9wiS
rrtPfU2m0pPNdhB5dY4j38YgS2MJ3uiivmO7StGeYbn7aVnKOye1WYPFVbDB5xvvSsyPa3Km30kq
uM6J3eZ0DsgJm1DhWB9mVCXWYgtpFJjNfFC51W9suIFb6itS3lTML/uqH8EO1z1pB0Hp3naYOoO8
iNVdGJUYun0rv6oMqiZ6JyYTxbp5BUfQF7BhmqQe0DcC+7oAFzGE0yy8l5Er9oXVePy+qCz7iq31
pBZ+9boJ8rACEDOxP6xJHC0Z7I+t4GveNKRqimAzuqWOcV22jy3m0AzBxUx2QzKS5jXySn+YnUVQ
1NkmN6PVKLhsTQ3F11kOsvUojbEWoyYDHDfC2FWgnJHAix6DNOhLQjwVEYCJg8LcDCzLw9F1l6sp
aur7BBbrc8C/34IsoecMD0TtdaGrY5bPEalZY3FXJsXk5+R/V1DGRrTDsCXJXQNyqRq1xZmVPLke
/oftXOChlarMrliTMVmMiu2lyCR+P8ttui0VpPMhEXG1nZaSFizR7lS6SISi1rupaeh9ynNs4ptB
JhQtTHNGWqKiK2eL/1bdgXxhqKrgwtX4Au6ZxjiVOneIXr+fLJg0om9s7/JzUfMJxWVkIietn6LG
5dCauf18VFPph66B0MSdlMDBxlt4wij8I4c55njGgiZtPg6TfGCi5hv1iZrpO2FahjSe68skoDCz
kDWC6obH9nJDyKNewrrWsJ6HSl8U7KGr/4jN3x25fzUumZ6Pi/Vfj0uXuurfqp+stCyF1q/5fVYy
hf0b1kmXZREDDusHqEu/y82Iyr8JdikCvr8pgFChLP+TaYGLlj9iuYSl1l0pqr8PS7bNHGVTJIAY
7TguG5+/Myyxt/l5WBL0Drgmk9nakgTe9FcrbUPWQEZoX7dew00F+3mJvQgImLN1Wjdfjh6o8orw
QJxQJZtazSWWhbEtsEd/6SLS1BuaGDk9YY+38ynRLbmBuvPcd60kLIEq9e2NXTbLdU1SqHhOtd1e
150WXzIrnjlG8fINGERMb1k1o9E6pIZbfyBv78lT1wbjeJ4x5E0X1bjVLulzkvEL2RZYCm5+WclE
Wywd/QbfxrUYlgY7ZOPHWOorLUP87p9GhE8utQkphnEWC8IXla0srzC0swK394FPQdQumipiErab
pBesXNNpKAbvaKiBIaUu2YertJrvx9Y4yGyQYS2D56marUNCdwchuLhefyqSrs+zw+3JGixSuIC/
k8CEtLPGTfHrTjmdbuzPi4zIHOQ1B0WikkQwSVN0W81tUpscUeTCNkIPKNUydc52pru7rpky94q6
KOedV2S5ymk1jdSTdht96pXd4frxVDzTOoIpqbEnd24Oym+SYidnOV3qzC5Su1jzN6wxqj1h6XKk
Q9ROkt46ZumMbXPGatCMg3eliVuRXNyanWni7pqSfMhQRIJYwUU+mSXB8fEKGi0N2nB0UOD972Aq
z2vCBjP562hJJtcO5j9RP2P+ggjaZN8CEp/flkjwZLyRVeeU5iMNluae+/FKEINd5b00+JxQB8tg
vJ5iTlmX6DEvlMqjhIzbkJ1SclDWThX5PTqk2omUKTZK8um2W/ABrG2XvC0JgoULK1f6AEzz7Gd5
vYt5LOx1mub4J5NbDKPzQ+8Odkq6sZBhGqik2hZtH599HxWTqYRXeyszP4LoLBi0C2txTiWXhj3X
0e6tlk3xLvvWtPZB3rnktlqSGL1Pxc0Gi7aCt0Bd1rmzGJVsCz9DhuRoHu1q+JRkNjZnXdsO5oSM
hGRtN/GnWNniCj9iuQfaYhxGywb6wbe7FK7VHHiEzPcVRuU194cIZ5uRR2TCZ5LIpciv1rw9sRnZ
kZzL3eo0TgLVmt5g9KO+sK+BpOkzohW5l0wsYT5wkeemsfcFAfKhiG/chB1OONjuNX4CWgrmPPqE
hBLsmScxBmWWvctbJqPB9JoPwNtunMpz7td39m1kdiLkGgggpDUvGqPhBo2j3/pkL/focqwcbKsR
32pzEbe1k8cvGDHAXrc2pHTmsGNXEFBZUjc+ZNmYH8DmRrR+rb3ftFcfGlcFj7FtOBuSBfKaVrOP
WorbysrArxCsvsZu6Fwjp7GkyLrp2WnrdcrL54mYvSVfS2eZYdTQqYBhkP6pB1faA17QzvpmeD5R
2J5XY5/rrD/RRv6O1yCATxNRQ20MSxts8tG1HxtrmhMS3GP9bvtL/ERQNxYbeqidzyRP00PFBM7f
0RgnyPqA3WkH2bTDWFABTCA9n0Gj+BTo7mD1z3uriv3j7LjRZmoYIjaDS0SNuc7kjU6d0pUZJMMT
z3tSQLw+T/iZsFtlhLXlch1MLNWcPAqOhpc0FANbrXf28YgFiMuF/2V2q+QuKPz0OEZ19YVVYBAW
AqVo04C9cndLbQsyq+YpcrOHvlT+CUrRHOa8ux9pTGpKTIWLJOFvRdupJ/ckWOsQYsDFh9uJSmuw
pZt6ENanuojprk8GwEeTaWch2GjnlbbRILQoIn+o2TMyUavpmQBsRXF3Vq+mIxZDoze/GzNZhVFa
/beYUOWWK4Xe1UVCTRU48xcJeORWm2zvxtnXd0vl1HuzgH0kCdFRgjaJR8/EwLilkD5v93Xdxbuu
bsWb3wwqtOehfshsplDQCwmoomwwNrbZx99I1oljNVbeq4WAaoSat9ZOc+RsE3o53Q0RkSmsak5+
f2JL5BEwuciWTiU+kdbejk35IW6D5sqfnORcB6pB6yJc17cC3XwJkgXfLc4+BxpFhms8SsJOLAWi
sEnWOJrxA5rmKE9aLcuwBXr3tSyhhZhzHSD6y/rCdSrbGlarrunOmO4LLvTDkgeXdpROyoSYJtHJ
cg0qqITZhtw9sk9FN8qnrCuai9f4YHAmsyP0zmXowQ5mNqt+P5/qOUrRGCJ72o5JKm7V2OTPZVC3
z7FfqTuil9HHJo/Sq2EG5Z9Mvv5gKnvZJaLODgtRrF209O1GYJyj/IR/bb1FBRf9qSo0M2jsDR8o
FBLLJrW7KjRSopmuY9dsEhJx13YekUKPddC5mgwWxmU+LVcOq9acDmRTUoJiW7yO/fRiz2QonTFx
D8tMndwWRok+m6npvkv+fmNbR1V6F/fIx24mgudFO91R2JoHvV+xB910cZfuXQx6117aNE+RN+Jm
NvDC53Bp2OuEPn5V3N3YjhubQoH/DMf/1nBsCQt9718Pxzdfx7cvP8/G//iSH7OxyWyMEGhhqCKe
80feG8bFfw7D8jd0euJenM8O8qXJdP1DOXT4I8f11wiYlP5akvU3lEPz165QJmGgWK6E7gaRmMag
1Wn1/vaQgpX47/9l/m8swfNYqca6eFHnfVwQ4zglTYPdhy5ESMinbcmB1mfXDFqTsG8Lj0ODCYFF
WhwG2bXXTiQG+UKBUX5Ts3FmNQvyBKBW0wK/GvhwsbC1x5c+p3C+jxe9SZpFzttg9Ec6iPqMnKlL
nOswTIv5MFhd/VqN0XirMZvObCCr9bmvlQdwLVLTPgWFgesrw7qu8nHYeCwBDy400nrTJNmco1eC
dQxpb5/v7GXx3H0y+1N8DGxTDyFdNOJzNhR0tZMWz7+0ntHeprEzlqRpy/k2ijhfNxSs8G8vm3LJ
13Kh3DvVi7IZqcyBQRNbPX9qdU4jzyTtlrs2cdrlRG0PCJmyXGbj7PMDgtNF7AKb05aldS9J7t8H
dhY/6Cwfb1sSfOQ0ij4ETMyHOupq/CGT8o5lUFQtWaZax6yi+pkL+JBz0thq7puLlcsPtCf3nm7C
KRJ13x4j00mHQxlJGAEHH9tmvPcUZHcRUrajKrHNUYRuLPpRKnPL0W8QWDPrgYdk3ELAyVyiSlW+
S/3CKObnrils2lXGHPun4g4FKcpJo3G+yVsc9/TOFKkK0FbhZewbn4vHZrCwwVDFB2wsYj5ajD1P
Y7Obtk4Hsp8Xcxg9PPvCGFHHWuF69VF0kxldSUVQPmztblzfOFRGooQ4em/M2URBDPWcxXjue+xu
4sZcyqy3YN513TjpEmVEwg18ibnISP06U6dbqS/91GIY3zi0CRXR/X8OvH/vwDNXbv6fHXjTf12+
zun7z1XSxJb4sh+HnrA4s2zStcHKIP/p0BPBb4KcLDsQliSkJzl+fmRrPb6ITUfgIy/8sj1hsSID
0/UtAk1CYsf9O2eg84uDWNBhb5ske4nycn3DRfzzEdhyW9RTXGXXilj28mZzWwFZbnu9vRMJOD0m
lklN2XJM2QOWxqmWSeOoLYmr6gjtWRxYOC5flMUOfGuIxtnOGd2zV3Plel+JB3phSjWC0u2x6mMg
f+jNxbTYjwa2b59YBPd1yQWg8CrqW8UCxdBhJaGzBL5JavTe/UiYDaxm4/Yw9x6tCjTj1p3GXryC
ey1SioxpB4OZC/mhKs8ppo3t7Ht4EEbuA/Q/xdrJ5+SaPWrb+I+J9PQKMsTeh4JpwhqgKCqrcPQ/
dT6f+J2fEQ7B3916vR4OVTP6soROWcIApeU+x6ci2vfE6NTea5vlzpFFhVllmTK+1F0M/amphJde
/vMB/Pc+gIwAf/oBrFWf/Ff4lv/KmbW+f+HvH8GANDofLlQlVFd0t3Wg+KHJrXIdehv7TcdHx1sR
tD9pci4fD7yg64bxD5qc89vKg+XjKSjQkSw+/85H0Pb4/n9YYNp4HnBWuwAB8a369vfT449jiM2S
p3NnT15r4VBgfUi7eOkjdCexKaHHGj087qbkgbkZfSdrN75t6VdDFuCAZGoeO4DI1zxEh93SGuU+
XsiceXQAXOq4OuLOGc5+OxGQLQL3qh4q4xHaeLOtq9i46lN/1ZBK93H0m/lD5mNto3U2Mw5m09ab
suPu7aLvEKLS5l7iHaBeeYwIdLZU5fJzc41w4mOeJhfXKtWZvQhadRvdT7q9nbs69HgdV0HQPGI0
sCj48qknK9yzaUdhRFQlTOL2y+CYUzhkyPXlqLKtsqrlEqkYC2jPg3wUfODQ8+ksNXZRlpn7RWh9
cGqAZlUsD4we1TP1yNmua9YtUmHvilndqnyxd5Do+zcle2tfeKUPGAUzl1W6fP+SSzivlB32lR8c
F2LsD2A067A0TX1scslqsl7Wi3szHtF5btUSiG0L025HHpelBv6KjS0ai8uTY4VximwxlQOF7hhz
znnqXRIzgClglQ+BKKddj482KIcjel2+iQqJgBiAO0cxEjBXxMFANNqCbfno9CNbDKScHXfoPuy5
n4fFMsRb5RjujiK+z2XHzXuey3NDJOyqYZ0BfHfefU+gpqzbHKyqIT5dwGbOSql13GMAsLJf8Lr6
uYRvqCPj42Kl9cZCF+VCjbxgDVBkpA0ujbX4cpJsjJ5w9+kTpvYxxEiD1Wo2HdyjxhJ2s7DDipgG
nID4MA8uQh5S5i4ws0/N3NhXLQQekApwtxyrBQJAUsYq4kNiDfTQtXiRi4Kyvax9qjv3oz/r60xO
JO4QYPZGlYqdKXRy8JryTVNGklHJdsgIYODRmqqdCDLj3Mrgq62NLOwB+oa8J55Y7W7cibeEr+J7
zJn1fojZB0mm2W0e063um3prd4XYmL1zamVmflpsbW5z1V3NRv5ZL/a8IwZGiCvlaedUcbnVGuoP
qiFMsCprQy9uYMJrRCWbltMtJNo2zE31YnR9ScJrjjDmdXBZqBk4mD6/wdoK7L3LILqPrOyDkm58
qQSlfZb/OQ46QSUJ0VyncY0nGPW411gkA3Io0vShHEn1UiEn0LeS5YC/WT2JCjwTBcH5gwaTEnad
vrBiLvaontMODcLd65z1lINVY1fN+Gx7aQgctQrIps7LHX7MZKXuSvgvFj2FXuaeTIkDMY398SiJ
WfbOCDPCEENo8JT/APWfV9EHRidhxW/dOJhIDn8PeNYgm51MfMCHLTa9Ybp8clsq7ZPG2wYDyjai
TfWYA6S8i5pBnM2+m5wNNUkJjSJGnuzcBvrt3AOOhgeVs0vs8j0/6nDtGdgsAte4rqgOOABGujHs
/HM6wqTF4A0sq/UYu/3RCD3N69nozjl6SQGRyhLfCF/QpkSb0JmuCdp83P4R/s5pqEb37OOGW11M
D26UtbsJNghUqJlsF/VToW3jJJNt8I4y+JAiZ0fmcFcMwIQFvTyHJTW+lrZe9oVCz+w9kCP8951X
HSZ3wQCHkXHv0WkDIA+35hKNFMNTQLLBuv3W1shnsa8fu1rSkLnWLxU5A8rkD/2WnMGyk6z2Q1Wh
yovYVZdFevuhlG9Ba3EBSdkDQvNxHiOZxNvSI4YPdEvwUUNCa7+OHZcpT2M7dFRmHUSBDI40Tbiu
kOMuX9DUlz7nvhSU/jEhd1wX8pPrdtcZFfCnzpk/+hPlkKCp+y2Noy6W/LR6CoLxmablKWwa7yuG
VPSkKO23U1xAqRiuPLtXN40vz2kNOdCp6+JS4OithLorkqgKI4s4ZdS235QCrZgGoFkdPdQH2x6Q
4Z0l27UAqq8XIH0goJWPaIjOWWRkpqzkU7D4wdNiL0dygOaVdrNhP8ql3fd+MYazz3estH7iRpbe
dUhAmclDaDaimYsRCy06NIq9Ily/EaXz2OQElNy+Ta+WtjvFqmVJPVoGyj1crCLh8cId330t8vll
iobh6C3w8QYJ7C0ukv0g++kwV7Oxh4jqbMlPBrRzjnci9oBLEsvjB58uTdtF295hKVYSbgAAiDyQ
7uc2xYDjwrAzE+MZ7G22aVmQWMjknIXDcPKpxuKsSRXlapF75PxNz+AZp0NscMrhTHe45PvlBpmZ
LZm2nH3sTRbIqwZbq92Yh9jLnqcxdU7a8J+WvrvqcmKbjRF/s4zGOxdVEe0Nr4DW0bjmnsoZf2fa
pTj7DYiUGoQFK4I62mMrrkPAedqqPhduV/UfaFOEBsN71qAX5TiD+bQbhMDWr6ePfTSW4GmzluYX
2nN495U+4EwVwED2EpmvHzIYeU5nHVtclyyevAZXzAdrmCoLfW4BH0GWw+lqTu8cHkwz0a5KQZbz
YNn4KxSdvHOlq7Oyxs4LtlntcyXAMFRQFUI1baO0Uv8Zr/F5wJ/6q223jfD1Z+P1bV68JXX5s6T3
jy/6MVrbv7FiZhWJ0RARjZDVH0br9eLrup6DhWq9pvJHf7zdupa9XnlXy+APdQ/WlOkQh2J4xx/o
MHH/DXWP++tPY7UDkIoJXQaByU9AWPLXalLFM7SaXbM9270xhxYo2x47zd4qe//eSSrgL06AcLWh
9Fdz61T0onyAtkMvAZohe8rZUI2GjVcGaXQwBsNSTyyKiisfUnZ217sV62aVeq+OdqtzwrkDbCOT
YbBWFrUsKMuznHH8uHnA6mDMKvBLrYHAlzT1ZaTBmpqVhY/xhN8s1omEsz1OKngd0wVALwt2oAF9
u7gv4zQP/t1CFQbdxHAKstU+tLO40uLkjxs//T/sncl240babV/lrjuHF5pAN7gTsKdEiuqVmmAp
pRT6vokAnv5upO3/z7RddtW8auBqXDJTJBHxNefs8zYuiuHhu3i4avHob+vFqHXd4+Xpo62WFzop
LPBHYoVDK/Esec5juiJ36wGsqs+IV/h1Y9W1LuqXieiUfd850C42YEV1rUBCJmz2nWw6gCmyVGSb
e/ZMlMKSWpb3swmSqRgkgG3b1ynlR8LDVwZZQPq7BE0i500WJ7YkEoFtMB13ycEDenkA1YpFaigh
5qC0Bv+iei6LPIi9uRHG2k5rMa8yZ4yAzSI0MmMXg386VHP6MYdAfuxs1RcRmcxjVLH5cE0xRjsz
U2F7RoaoHXRYvhdyr8Jgxk8fyFHQ7XdxeYg1bdxFDDGpUZwBrVAHl380Snlr5BCxHL+e3thkZxu2
1OBAsilGf4fLe/SK7JolHEiYThRgavthl5Vj0wdNWTlAAfLlYFcoqgHsFgV2e+g40Y1t+uC341yt
HRFlrFZsi+IkwlFM+sRtW8jiOSy1HucSgd3BrI31TZ46jwAfo1sraroLaEf3loZg/MLEVK2x64Hm
rWN1y/eh2k5jlTxRAIeX3Kwm9nC1RsDXAF8+dM1wDWTRPft+Fj7F+K32Kna0G01Bf8ESovlbfPnW
dQiujFARLZkpMWmdnuqFTuvCP3psHKO8Z8UP0B3gYaRWtKCWWrGPd9Wqmub5UFLaYsACtAtsuuwP
UoELlHkWPVkIUa/8mQ0mNjpbPkD9o5n0atI0aFHa/NOQwsHQ7874vqKqLMmdquZgYmB2IWbMPbTS
fkgbF3LGAL1BgC29NqY6ioI0mXNCJdthvBmiyLxCDl/thfAHJJUTnzVj7vY2zp3yqYV5uBtDt/4q
zfjZaDBc9bnnHfmkYe/UTOunrsZ+OOXqFjN9fISW2j5ESBpfBmsugPJKZb6nVatfaXMJYqdpLPco
c+VvRVp/G/0m3Bs2wjJ26ejWAEPe+5k3vOhOmj9P8LKeLdkni77Gy54bJmpoQ3jCHK1vd7rLYsx3
Zb9NajQfFVIEdL75jp09xhK/tI9SwTyF35AhS+FnNXw1XJizzYgsYOaRXEoCxY5Kq1W7wgxg8S2G
chRj9syDpNe6Nb79aVPJAYtLyL6c96Vnw5svyHydhriTqKL9cs1e2HwSJFTd9Fr7mMztfVpr7gcE
HSw+uj/qWWBLy7VZbcy0hm0qrgrcLtd6T8fvpF24dpPo4IvOPU2ybXg0hu5+Zkm+tlu9encGHYCq
nKsLpd78tVl8m4HB0B2Hm6zRQ0TikRh1WJQNejha6Qag5+xHJ8Y5w5ce7GbJHnoV4uNezRk9+ipV
6AWJN3+jZky+5dD2V93YXJsDKSa2I9U6Hgc2zHGY7C3NNYFTSjldf0/NFVBC8XzTH/HEiZgRe0ON
11Y41sFketUt4CTcf3Vv+BtYQ8Z57BK4CmTb6FSGGHHU3ox7dVdJAWcsi6R1P/bE6WWygDg1JAPg
uO8ZzmEYT3dCCwGnjKX9hkZ9IX4hDqUoNzjnWK+rS0ScEIhSLyaWRAr99B3iBvWpO7sR+SBBNOBL
MywbfGyXxAeE4Fhs6snwrjVMI2e8KGhupV2tel29Q20v7wy6ElYyIVzBuEPEnoYdcu4aRFMj1LXW
L0Ji1hfvomrtz0oTH9iDzWvDHTs26U3BesinRIdGxUPOEhpFhHfyrSy7ZlHspEE6v8c6SW6NDnEM
s/xjpbf3mFIYLxhtvKLvx3JGL7tNDMOGrDP7t43RVhvNMdnSC2TX+0gDap+NEUzYJKT3aQ1GrjZt
fmTrW57395TW+64x2aTE8MAfIpdljBG39VGmtLJtG9r5ya5gSNldCUmn1KM9hmLyQZzC6XcCydAt
39xiXeq+vCRT1X40is4WVb+RU/YAk4mcUBz5E05rE3XGqrIZDtGZ2cWlCDUA8+ZUHYyyh1jW6Wo9
dXpyrbWoI5yyrHb9oIa1AEP1BaUCvlavgrbjZq99Z3xNGwAEM9fjNWEm0RA4nYwvwmvoW7oKS3QR
mysWdN2nYY3ZZjCm4T5FUrGh9ifSL/KyrfDIzbBaLbyngO4W2Fq/kz6TlKlDhjNGqWVs0tln6S1M
plqAX7WDHK5wcsbkaZNYo4v8FSvssEVGnX0QbmRsCKzgc/W819jLv7VZ0h0w2bkr3c2ydWPzn0Lb
9YMJCeJ+THr9oINrXI8JRFuzT4xrFC/pu596mO3yWNshlEdq0YX5bdrn1hG1arJlm9kQqhSROABV
Z2+JajElU3lpNOS7zIzHq4QgQ54jxQSoNzRtrU/ostlejhvL7cr33pYJuTj5QzJEJANMsbOXo0Xg
h32ahaz3pSiyQK99c1sZ9nuj17cDpmqwYrCekc7tOKI1ZH7ai5FgvY5j2jB4hVQYOYKYTK/Obt3e
ujqRDF2D+6tAiYhIYa3H5Z2n9ejs2Ttu2QcTF8LkN3CSEihFHB+7OY+2ochPVqFpd36n5C53Bn8v
pjSCp1PcIpe+gJCNt0j2sb8BQ1w5+YRvZDCgfWX5DsRhte7nulyLqKJtjAdjV44QfiLNtW60XoHC
9TX3gfy/ZA/mt2LBYnxrQgdBPoGLQVJgrzWT2uYiyyCvl9ZwKxl0vyfF1Gxcja8f7Pq9wzr71tGQ
GhFRGAejvXjY/Ho4KMAd+5SJbxAls3csYNfmif2KW/3xv6uKf6uXctnt/V0vdRdXH9/+z6HL38qP
n6xWv/7gb/2Ua/yCFMJkUeEgSPh1H/HbqoK/5eHAYrLj/oFYgV7CNGiwHA8gjP5jRyX4x4EjWmTI
VEz/STeFVfLnbmphDLEUQ7zBXGOJ+2bF+eOSogHR3BbQ99GjIfNKp7iizOFs2ESeX2wS036RxTie
8NImQTrULzksSgpw9wwfJqfYn+NsXVM081QUJbM1/QntRMRNlhN1VgmQPjMt1qE1yLYXk+Zu0wkL
kwdsskYHH5jKIKFTtm++VZxYj58sTe7Cvg7XfWsDW5AEPGJX9vCXJJ+DPiRnZmXOqnFrFhpl1cD5
h6itbBP0hD5fVb5+cTCYgl6Vb5WSitU5kxiB6AF242eXp9m6gH+3cSvv7FpqJxO3XuGw//Sz8oRB
6i5UNq7IhPgvMzuhOryIdLpiMkSnkmqBipO3qe6rddXM7zZnSz4a75XrvDRTBwuUoXRLWMkztpw9
+W1OADfA31QdbuOSdCGjt16yMX9zSXbd6pG808GFLe9AXwzeGh7HZ1qX2qpjMbG1clD/VsFaYVjG
UqMcHyJL3i2t74qE4OjQ5v47zhN/Z8RiH0UIigezOsw5vChNdrwxur4SdnI048EkKko9OBQtshYv
sZUdI5W/tU2Kc8I+k99A5eKIbiP4haRIPgmPuYicz2qy+i2COQgaYnE3Qd1ThI8w16EWJQ0iDsy4
RetJhGeAJzAGrrYkZ2gjxKQaPnqkLe9lXLxxG0rWwOxte9Yvq+W1asH/gXTdi+z0S2/K3RDPV4bH
eF4b9avahW4wZvGnxS54YxvJKcvUlcmHs/cqVjRpwm8IK+JpDntunt7JmUeS7Ue+IeM5GF/rGCvP
dUuKKK3MUyuakOJZPRS6vVZTKVcl7uJ1WCVv5SipBk317lXz1WhGIGjjlpCtxn1JlP7Va6wbX5Iq
7EAzm2CdzPbQ7lEDPcyNvYcryy6ntfYQXeIApxdLiR7YyzDMV041xRtJztGKpaN19F2+CWruaSnN
wgrqTn8qI+Pdp4kIlpA0sv/yI7XaQ9MOD0Lln4WeTivUp6jNC/VghUYcZElfU8FUiB4dLV4R0EzF
t7zvRunQCYqXqinTLbYD3HDC5dbi5/g9GQEwxpWW85K47cRtwtdRM7DMUSi/piHZKC6M1zWFyXhr
OXztchWFVIyU7RNIgX1D+NaxAc106ArHO6hRw2YeTznxEnWBT76etjoIimMRE2tjarn13hvd6zS2
zrXhZTV0BfKCWclBsAaRD/jWWrvZLN9Ct0KlSf+fO7tUNOUT1LWnQtG5r2fsaAmsOEI14vAMluCV
zmlcZSpnmeNMcCSSdd1P8KOEiklJdhwK2ES1yL8rANuO25xzLb6UFTJGVItPlUZN2TE+3oyD/abK
iWSz0oRFQODmJnfYvbqYHuvZd7YFl/KaKjG8sFHqA2YUCyjOfK+Mqg66pmAROuoEeZnGFsounxu0
h2CAJYCWy2CvaQrvRujusFPgZoHSuC+u5gAraOQhHNtPaLJXwsmOP1w6f0Ed+iM7zFuMKUsIOo8+
EzYEdD+d4gmKpwGJEa3ySPqNNTT9wso6J3ZzmkPDCf7+1Zjl/bDYXmDyzN+40Cx0JRhznT+IS3wB
BNaZUIoQy1WtS4OULpCH6Ls50P/+lRZW0o8eYF5pcbTQLuu6iS7mD68kXVdZKfayvdlnb37Iabgc
xyka5xVZYx2lvJz07d+/5s9r+++/nYUSnc394j3m339+LyOrhGjZhfAwCN1gpD0+VIoHW7MIHtPs
fLX8vnnOwqjjdPv7l7aY0/759/UxrrgugKw/gf+wPEighF6574qWqBSawssU4kPluLgiIiLb6756
lx1xSJnEVJOO5Lm2GCoCIMbvMYr0qJyvBoBt1K/23vcLbZXiwyc5g2Qmjm9mtIRasrhpqvQE3HRb
2OMdvMYn3Y5hlCiw9GjmVhCB/B2AqvpLROewEh7Hw9//pn/xFYJOgjzDcAzdNhed6I9lh5knflGZ
AiGD2W1FpV9ghl7wNTf/8I4uxqw/vaNoLxYYGPoJTMA/v5AvDU/xN/mu+rk4dCSNT7QRGz3nEC4d
P113HsjOyChuQX9e3F4vblkSIX2fo89m5FxeShUsiBleUXUVaXgbAPU9aL5zhvGzAxaFbalOoNJF
CJ8bZaqXyDanXRGZ9UYlE6psvSVQO1NPquXaH8xEHNFnFKyTevSUZfIZJqzcyyznU1RetSOM5zOs
5gUvvZ37jsu7tvbxZO/juCTKEAY0VA51xbIxX5nDfHGnxgrQDMKp9bTX1mY97hIL8A9v5F+cMEz2
F46HDhbA/qMbf6YZaYRmlXuwnt/LCcXJxqQVR7u09n//5aDC/tNnZuvcUyyBXB9A4c+fWWtO8J/F
VO7tbLwTXXIsMFf/w0v8xcniOgbC8+WvPpa5n18jiXF55rqO2s0fa0zrRA2hbX1fTnq2ctOub3GX
m2Lva+ZZhj4xv2V+ZLz63KXpVyLRysBE1cIaL7X25I9zyfqcTvVUnDDtfs4O4RVumGT73HLmIGWh
yFRo7q7zxNmgyXn0ev5nh53ZQUwoPXKbusUwrH7VIKTYmq1J9JnfmDvEuSyrzeTTZlYIdSk7jSo7
ZnY0LT5vClRDUv0a9aos2cGPen9XlWa8QUn0q3f0X3LtxF88sXwWPvRtzmEhbPPnN6w0615VU1Hu
jZxGYYyJaU96JLemlvE7x7wDCeUWohbvXNgODvKuxa1kFDcEBTx5YVYyKCqHrQxnGfSOUa2HWH+B
UmutPR0hNDadM2HWCAdCm+RXM2XAyElU49Bdu+n0hOvsfe70gFzpe2VRHcI/S1atpgC26U8ThRjh
PXG9s3KYNrW8i2xnCFIm2OxJOfg6ZyTYTENFXYS5vzPt+cmv2/HXleO/fJP+4iHhzlj+ZaCGN40/
vEcyalBzybHcS69cU+KowJX8cQQ277CO/uETMf5EMOV29LiFOdaw8Xl/eiYbYU0WZiiCtzD3bwwy
B9ZemB5Dbirf4PNBE8lMeaJBGk2OqTSlAozyE4hwsHUkGgZV6RP3h8Zj4+OQD5JliFxOHlk9xjXj
hpvcR74CrJkow7Ky1lbdvRfpfKfy6apwl8uYr1lkZW+hXKpUYADprJ+I0ljDQTJXlKsb7NseGc72
+Xt7OQtlrdkYgUkDa8OonJ+o5bitw6EnG6mPD4oEg+9NUFiSrAmhG9vJIB+SnkbSyyL84g2tnj3L
h7bHwTUJfFPW+EBWyKXRkqNlUa0ZxDknZTax8kDyUvC/hOPyhayHcWsIYiGWx6hTNgpt+eBESwNh
ZxrPEylNeUO1hIP/pBi5rhksdZtWs1+alDxQ8j2aa99W722Pxn3gDWZ9fQJEWqx8RSkucvGSxuOd
tATB6ZW9H5GuamN6nDEc4KjnAe77/EhTjLSdm4WQA76YPB2O7E+5Yb/GnSyPmWEzmB7XkB6m1dIY
sXWB99QwY/ao7PHiv5iIw/7hPnb+4vGm1oH6ghGDb9QfqZWIRNIG40ax79zpHb3TXadz7420WeRn
puul/vrealcLvaH3qfS+P/Nl3G8nSeRXk/JjTWFBZiqh5iEB9MbWckkuixpwiF658dUw7XOjg/Wd
ZMiNIpFsmjKP3hst909168dkfXEvMuLykQnlVPkuRlONMybtp6fRotzSW6tesR4ZVioiszf3qKwj
GkPuw9hCvZRiozy46fDQj5ygKAQBwtGSwqs4jcNwJ+wl1iYH6pq0mbVu5HxVxPIB1jmBxoY2I3qZ
3p1uronE7u9cugM0kM555BKhyRweLEddlmq+d3+/X/+LMvoHtYJlUAb+cHcvmVu/JWQtUV3/7//e
VwNi4NVbW+XJzxb933709xmb98uSWsXcDR/+rwKE30ZsnvWLhVJY/0Ga8LtigYQs9MNY5i2EjGza
qRJ+Vy0wfuOus3kkUC+YC+joP1Et+MvR/2MnQ9CWbuuCkp4/h/HrHO4HT9IAA6ds06TaK5bocuPH
xFVwaSf+LkbCvnVKDvJVGaXeLXxXYm1Msr/OmMCr9ZjHHomN1mDwRU2sZ3aZ0wX2Snk/dk74iglI
XerZYpDuytneg3tkUePzHl0lS3sG4KhSK6kyp1gjmEhRBKCvsK6p88G5GBX9Yi5s6zjMTd5sGj+J
QONNE1VexrJHrWckDp9dwU4ucP1JbDOtEzexkapLFoeCUGDmARu90SzIpVNJiINjl3iVrNgkP0R1
KLOqCRum1oY1x1loHYbCso5y9qwDp6ZebghBGsEz84daN0XYf+NVwBq2okT2FQ74fFksN+A/XGbv
Gyg31kGFtC4ICPoKjw9QlX2iU7hurFkvPhM+8L0d2urilDbcRGNOwo+ZUIUmyMBJPwOARcSA+6d7
FqxJn0upZ3d+pqMNVEl8IwdiuurOq256+EzTFY7KyGYlxJQFm7rrdWCIciNcYeAE/UHGlXdLwN60
abg8OKeMEB6nbiXI1mABusTMzvWrEXneJcypZALOct1Ykz+OO9wH0bt1vQJwFBtxVRf1DeGP/sXu
AANep8K39x3v33asGv+aYGt2G3Esr+OBRYmKx6JggVJW94bReLcafQRdCm5oZHb2vjC4k7hjjIew
IicnYXN+1MAHHNTgVjcZ4CztfhaEzThuahxZ3UniebNBcDebmDKxeJFQP+CNB+PafMWd1Hxph8p8
rnXCFsiSbmgKCbXvPgyt8DaI+WEJeXLyb1UdxYjBhH/PHRXdkrxIQpWv0COs7NF6ZYDXkTSca7a5
7mNNvpEpzKa1M/zrurbcaDtMenQUKi2TPfk2/XwA00QzlYSDdm2G2ihX0nSLjaUrjyDoDrROD3E3
s5Fiynq4w3Ros860lH+pPc2wAD86zmNpTOIUsyaUQItzwboQLzeTz5WDCdnaRUBV0XRraSrrKQCH
D5F8spPK+9IsIV5a76OAiWvo53w+mhyJLGDAIjcYD7xt1BqzOexDJln9sXcQxR7yppmSZ+wvfn9E
FkVQY8nX5wVksnbPDp0RWRaSTVGwNxv77jluinPoW9E1gcLQEVNbS0F1mlZRCe0YFboLRwBz3qNt
6ey95gUDPPcz6dBTttUd/mtv6fkBl7N8SlgBrzU/rk4kkjTo5vu7dDDQuORLn0ZsE2lQGd+hJ8ch
v3rP460RaG6FbNjQ3wUIg4saD41Rr8H4wiPNFCqj3uyiD2gBhI9PegLmYxzMYT31Sl1puMsPmMkJ
MffLu2omGQ3FwCFlu8kmulJHmRD06eJlY7RMPndTMXDXhPaBln3ToERd4RDeKQ/R65SYRsBk3T0j
Sbnv5y5Cly13AMLsJ6NdUF7DAHB5Gqob6el3cFBMVgK0wlpH3RAJFOJjzr7dqx12egTvdKldXull
3X1LJ/esz2b4BbO5RPfY5PelQ3GbjlWHBoi0X4EL+wKAhNyQik2/TNBmC2c+J4037cj27lcxMNYt
WE4D9Rg/ZTAPwP3cVvU68+YvVYiAggTnm7luT73MwhWaJqaVFjFFTVi22xRS0InttrxxOpRASVd9
9Tltd2VieJsknMItjpiUFbsN6xRf+H6uKGbycQQ/WyTGFQGbYzC40WuVmN06Muh8Mncq1xBQKwqT
qn2WaSP3ehH1j8x7er4YUttFrfocWofQszidNn1Let5IsMQr4fZ4OL8T7Z1UFCQt02UcBoduAReF
sK/KJqm3vo8gCkMldIR6yMTRA7SxUprm3g517CNd5WpKiy5haSxYuY7O7JKp25RLgNaSKeQ1Sc9S
tQmf/MbmkbWLEE8CqfdkPjdfy4r0NMLTk+yldvNiaww002Fietui6/1dhTH9S40b9Jl1uLbpR+ze
lSznM3oygtUa2e4Lq/BuLf7GCZONdkMr/eRGDToSw4fHGnWzc27N0AAdofrMONoqja79rPDI9ynt
ZpX3yeCuMpOqMWgc9FFCopCweyI+RmSHZwuRRzCDnGsDrS6JaqtCD++CmxHIGpHGWCMBaFAPPvW1
3iHz6spmnQxoXnSo5GjRq1uG/frZSjG6er04OEPO10BAn1Nmt1LL0sZEpR+MndAOLeqibxZbtG9D
0S6sYOJ7cIuEiOtb4ZDWxZjEWqVTY68dOzEeK9DrdzFypA+F225DNI933YTmq+YPnwk26BeA42AE
JpyynbAfS2FrJ54pkFpWNiIl4pybpyZ8BFqyY8D6GjrDu2c29m6uCLCfQ6SLVjK9TOPkr/scGbvr
gjMHUhyMln4AupdtsP7X3yI8+kGWatUaQ1W6H01WcoTd49CZndC45J3TbrJOZrel4ZzLqC+vGfEN
mwL6ADndMGURn8etrDedUcznxR2FIar7AFbzwBqCUor6gmkMyDFrBH1DDPua7SIaFTJke6YgzVLM
EFbe09UFhBdi2ylD8KpZ9qCZDvsz2eivsekme0ix7rfWaO+wHX6GdB9kLpKfprlfypypfWP3yU5l
unv0J/JnaiIqoPs0X6qIXgDc3VGW5Gqxv6g3OA5BOkcj0B01FQdrrA8A1RZXgvGYyCm7zvnOI15A
nA12mFFD2hPdrKc7aJT1serVvZjjbkvwb8lmEzV4nM4fPfXnqreG6p6x/bhKkCbgJyqsiXkKpA2b
NVBAjlOxhY1BfJXmvYeR+QL4NfyiN7Z1Y/msVwvPRpHT872y3wuzMA7JPLBoA+ZyBaekuhoa85tb
SNh+xgdTT6KRIZzUK1AqJC3VQOg6QQRW0kCVGz0n3lGxuHcGHPJ1nEtS0Kgeb8zSDS+Qgo8tHzrM
o12CziqeOrK+XBTsKRs8DPYK44ORGmerTh9VVjtsVeOBsCfye1BzlqQhxQP4SVpBF/KGjWQS05VC
+dR0DiC2+alPE8jEYks89E3l9oS+Sp8ur/q0kwgFOmFBsabfhLK7mXNQ9HEPEg6/Q1oXr+xFkcB3
6kF2w6U2eoRv5YlqDWuLMzNp60O1gt9BmMiI/WpKecwRwYIBsa3EZlXlCvu6TEmJdIqmXMVOG5iT
i3mWMdd8Mdsy+y+U7d+SqVtYcRlC/Gsb9sO3svzWdd++/air+O2nfuv5POMXB7PbokJHo/g/GnVf
/4WYTryXxBrhx+Gv/6tRd35BT6FDAfqVUbuYs3/v+MQvPmZgUnp9Zmn/aQ6IcP+0eUCjDkFC6Gwf
8GP/cfPgEsCqxdIuD9pIhVvvRirAdCTaTkoAoQV1VmA4rimve3OaVkWHNNLowJG5nKr7phAJk5cQ
7S1tK/m2jXAeOKCyjUPPtI4ip7NXsrU2ReSol0IpkBaTZVtvflQaB7PW89Xg25T1cSQYRLsfQ1n3
h9Hqop3NBbHGsNkQtZfFuOEQO0+jrtPeIe5CUq26LbnfBWxbDxBmOlUvAtnwW9l2xWGAbrjVE2c7
dK671ntWoWOaRDdGG3r7ckryB8SACBm51ojBJXGqeomNodmZozYfuzFfijXTcb6GnlvHgSqQiRDI
GUWk5k39Y5b23rViiHg3yNZcl7l7i9bKP+kpKjmviKJXGEOIObnFAHYOBLAlnLVhqre71mVjJxOB
88+abqu6QmQMn3MLbofLjlP/pnT9Y1Rma7tS2UWjnEEHDVcJaYK3yQlPCIasse/bBYQlG6Gv9FkI
6OqqOwzdrO1DbaZVymLtyPy7RtDczKtY40YizbA6NU7sEvbuaQt2j/0QgDKxMbEwXEdhYe8w9hT4
bIGZswSYb+vR7E4u7PEgGwi+UoV6n+i2N51E/hu6WXc7Z5zHcnLyrTNUaO1qheI0Sd2vA8dXXU6v
epF0uHm5dQcCTnewBcKn0UuqbZqGzgcxjtnEdsBMT5GNui7H0huvlOrJRSYTcJ0wUthzO7fbxqFn
ACgFyMe2TdxBgEkhjfpfvbaUnxFN3XZeLIqU6gWJ0Z4lbgUDP2xeaf2I3i199FgLvGms+VioEXlz
goQ7Xnna4kYqdD7kxCdZs45onXEMeWuYKt4xBEZ0YxkjOYbSeIzROfcBC9ZmD+A+u1VVA2+ktMYb
E4HblWgSqhkgHmm7Sug43f2gATXYtth2gdoNIkOYOSh5pIzbpqU5+hSWC6RX1N7K5JJcOg+TAM/B
o8aefYjnDFt0eHEmxkoLo4a5ThuyRKhCkkCZc3HRNLandpMFMcEep9Yx36rvWXLN91w5xKbPDqkL
S1j2LtQ8Qzt0v0bR5VgwMzcYfVn677OYGnRUIQF28xJl1w2mV7yzraXCACSHN6IfHm20+wsPJaYu
wkD4IMKO8Wk7GBsiGfyjrEiyDfywy6d1HTv1Xa20IpWrZBqjfS3crH00CVUlL8MGfNvHsGHdyj3i
x/A6bV3YKag1Dkre92KEdQw1jNEJctRQh3WKXW+l4yw7k8xSuM86c7Km3XT2ZNyWyh/CjzRE0WGj
9A044cBgCY3NKUUK31wbywbOZ5YqJGRmKzXmDIj03k+/AnWbtL1XjjpOnIqM2aDyBuB0I3CbJZ02
HsRJRoX/VEw1YWOQgvim6BOp4wbOvTEoG6kuJRC/D4YNfbZjaDAy25oaOmFI4D5TdMYs/qa0M14S
DWdL5qTSjQcrmquCaULOvkKXdbLj7OMV+yxcMtv9Ds9gQVA0WvrEL6sb15vMylkS4WOrv4JfYevg
V0cUKa5yIzAZpXOjRsKK7CW2SCd7lbgSm/eYuUE4PeRLJlILJqMNMlTv6NcLX6JjIT+p9EVzyBKf
517Z4dr+HrRkDrBsBsOMd6U7ertqSWQqiWaacX0QZWjY1bWKSW4KMWduK9kT54Se2eWh+h7zNCyJ
T33qmAuIZ2cvaVA8q3jtjMhJNm1UWdoWRAVktRzmr2N2mKAtaWsBwVElGi+Yat7oMrp2mLbZ38Oo
TMu/wpMEO7ppEbQqEbH1pE0I5nnAUF2QUfveTM1X7qj2zHAVerIbIh4fGbcRdtTo99FshFuFE+cR
wEF3K9DEczmU+SGP3O6m6j1tm2uTfhxLPXwnzcdGzWCsOxf5GkdnuCfBSn/JXCJQu8L3vowI9qug
D82avKJGXbmzO5/YRHpB1ChkhnJKqeYtmjkins8EgW+p7QSaNH1OqZ5jxOTpCOkwpYa/sNtPN8Df
dx2M9kfSC/vD5IzDzmhLKANgRBrGdQy+5k4bAT0DlXQZuaXrVpneVWJxxPumZa8ZpxIswevfK1/Y
gWkwiYywZV/qKcI/i/xxI1I/2jn8AvizkPdB4BMxR+MsXiyrIc5ztP36DeJIfzLc2fjG/KTa2v1s
bTIjNPZO11jP8PTqDUj2aF0bXbRN4Z9t2rLPz5kum6eB5/BEW99ecMv518hlSrjJwF3oxJJdQ9ro
mRheckVRUu1hur02nkiuJzTOzyHjmXNI7DX/kM6hEgAvjikBZkBVWPq5U3HRrxKe/Iudumrnm077
hloCJIKTgSOY+1tkLoqMocJzDgVt1y2kboR6IDm/yi4i7UEVOoZk0rvAMT+z1nJoKOjCAaiQSgOy
Cg1p1nqBbmgvqgz1jcDxdbKTRL+ytA4KNLc/NC4N2KqgKWbTaPSPoF96D8BAxLRQuGrjozUPulE5
/qpBO7NihIAnAEoE+/JikfAEeuYY0cKUhn5neTzUwPXXFcqKN1NRyytBlxW4espJ0LYZkSZ4x6fY
vbfa1Iu48qICFO5D58Ce/S9m6d+r7wVDhr+r7x/7t/in0v7XH/ittMfmCUVJR52s/75/+R+6ywKc
g96CVh7wMkMAkiN+p7uwtVnYcqh9/reuX6BLYJcW/DAbnv9QMf1dGPLDIgdEHZI0lu7LOgkaiLVo
AH5Y5FR0knE1edPJLwHRZyuPqfG0Be3FhVYI65Ap/GKQ7qP6qrMFI/JpYrRABUOcVNnuWzxSSyfL
mnsYQCsnhrqLp8m+AFPpKKGqXCWhh4ZP6sNIzkLhEHh/p7mTAqE2AJjzxWMcKr+o99AEkDpGciTH
Rc9D7cYvxFgcqzZl7kDhY1Tep1WDnRz2kvWYGg+ROxgESoX4N1IUqR4BGvXIm3yvldQZm1rEQMsj
mG084a4trBuPoL6Vzsty6NW6w2Ni8sxHMBPYrBYCYB2wpnNYFPGucc0ZYj7JNw9lAch97itrzy+F
nBQF+FeYcMkDGKYWA1YRp9R49rlXOMpmWvptXP1/9s5sOW4j26K/0j8ABxIzXguoiUVSLJKiRL0g
aFHCPCamxNffhVL7XpN2S7f7uaMjZIdbJKqARA7n7L12NLz4ApcFhwx2vmlOKJbDtj/wa6KFoU/M
C4WDq4yakQ0pYskx76Gu1cf2BPtpxcCBkZhvkzgHBgcqYgKSm2uxeiBjdoAbp8d5tpo9Gttw9wa0
5AHLxYU1J/Q4Eus8lI9tvmblkOJ30wC54fSzKZGulePxMsz/2+r9Vat3pSD9bEb49EJrizJgXb2Z
F3782B/zArh11DUg0220oTY65v899qPm+s01HZPz/lpZ+GNKYB7R0XlhbrAddEsrOv2fJ37LpmVs
I9XBRuFahO7+W8AnLvGnDq/l2fg3xIV/SX3hAnB7MzEs9dIOmhycc0lWzBKQqT2c8W6vMRtTK7/8
6cbc/Zhv/lEN5V1Nag3UyrfytcvFEBmtiljfQsD2Xo0V27NVuElvnRNNNc+VVRuwIkb/Cc0N22GH
mLznGFj9iz9m3eE/uDQNbOZmGG/c1LcTYKrlYu5rYZ2pFHBp2gQk/aqJZdodHHbh3syGXuodbkmM
D/QQfn759df/3/y7fnP83gYqRJ/kaMo87y5vmGlc+VlhngtMjKSdaOSSB3o/kDycQp/gAFey4P/8
mgZj5K8XZahYrC0ONaV3wq6qqaIhxqF2to2KfGg2zUejdJZ251IEemp627u2UpOLD2IgSTjph/7V
aWiOFLgjzaB11i6KG+MwlbQPou2ykK7teKBGMeiNujiNTaREmOIxg4NLsSAJ56IyzeDn3+NtpNKP
e+dQKVvlEZzH31MBvckDCAXP4ywGjbEyoIidC9j9Ow8K1CNWi/o057R1f37Vt4Lqf14V6aDjspaD
RHz3xOh9udlsd+KciVE8VtrCntWtku96NrdnJZb53rYacYtRMcEjniDR+fn1//pigiPzSLPikMq4
ef+ujL5fwT6fBRY6Z75P1xdG+QMO3bEVP+Kc/6UA8J0k7/JdTeHzZnkkmyM5Xt/bP+0OIuX2la4P
4myl/nyvNUmV77Bbsu2MTFO+zrllvYy6s76dOh38xp14WTS23nd077VfPO6/++J4u5gtWa3Nv4xa
A4a23+qRfh76lpfEwvdfXxuUHscN+jj/P3hJ1lIs7yX/c/8i2xVNBtvRHA2ODOzeK5UUoLnimcaD
q9enEm853RJZn8DNMcr9YhG3oHfmtQhPX31Dd6c+ac4438etjWwg1w0ayvnob0XP7ilJiP/ht2a8
ZTY2qOnKT6BG734+Vi5OiXfTy5p6RtWWpYIt0DthelbE0eApX5wjyortbnG7Dk8/44baWfPcdSjq
C7Z8z8hx/esSXPoW6yV6can89oD8l4IDsZVtgRF1KbpQRLp89Tp9vv/55/ybWdClJ+RhwODD2u+N
EdpsDCNOZ3FGO8INudxm0XTNs9Aj8dgW3a9G9rqCvpkCHbRQq/PDRDlEbfr9Fcs+NjI9V/I8NWZ9
svvSfon8ef3DzEB3rZZ34LqQQKM0IthdHwn+pRSq/Id0WAs10P/6V7MeGek6M4Cu8RKQYMrEuY6J
yy2SrBow1lP0f3J06fMKk54QnKKj4fKF1u7/LzS0fIP3X4tvwnM2GbkGMr73OvCFDFa4+Co+g7si
WbZRSxdmrpZ9oNSnemjzCaKTzB1BOhu2VjiUP8Bl7PyEStIGAbmpB2pu2G5ngLn0snd34xJr/SFx
JC7dShBQu6FaFi2hbgI+2OjJpH1sNDr1oe7WJGxOMYHdgeW7iQwhVvJmZHIi4KCk2kdvdfXie011
Hig8nTxZEpdcevXtmKGPCT2s0cMGAxXeaOXmH0Stiq863YaQnOkOex4Yj4bPNyavCmmjAy0wqcK0
Z/2+IlsdC0RrZs0doHcKZ3MCw2CDvVsPbTfxCNt1Xa15IrU6m0Izcl0CsdtER+kZky/WGWM7sj+O
uwWum6+6wOkN73e0nB2IO5r4OezjpTc2LamQhLChidGOkSesayMe4IY0Y3Sl04xBEjOKIXBBvHRn
rATCQi3fVzYVCGJ/gzKJm+aOcJqiCyjAJFHoZZy0YlRQMO8ZI+Qu8co5tfK3LVrOeMvWwN+6oqc0
THnWfpG+xTah8pht2AIyEY8Nb7NMFT+mXJJi4Zph0sPxU1BKElnhrhkV+cDKLBLhrWGfg+42VyAd
MwUOs26vtdn3BEDOukyQ/Kezd7TiNLkdcT9+9arcqakQJTqIhKwL8bXGCBGsbtfhaOP02DxPur58
BtuHN3OE+oIB2Phd9XVNpbWVe9c3oh1HqfoL5Rb7M3U9G4FCk7wyUOZvMVladOiTuAr1gcdDcHpf
7Smp2AhY3TFgYJW6SZm1mmdvoyjAbHDEvVqt7gQzJ63mUbO9ND+NlScRdRA07JePLnRrnUS9BM+p
G5YgNdGy9Qo7CGgvQowig38KYzIQQedWqmFFRFKmEBR6ufCbz1oyOiYfN8+qLlStKr2dpq+bn8WG
ppHn3OlqNYXqMUJMZnvNeiH6xDW3cMaQIpDjVnycNckTU1HPoqCUOQSj6zOv+DVzRaoYldCDBIup
VbX8DkqmzbNPA4BTolh4qORraIGudx5IvInhBQqeR5+PTNmpFZ8H1wNJsCjHeonsCbVYqrNfhRfD
bFROOAKjxX+aDEO+yiVZxRoOE4/FPORaJYf0DmfjpuUN9cBGmfx6lBh8OE4c9YltXfQ0ICgKc1XW
JyDjxmOLnYq/VBf+dd9Ts6Z25UbIzC2/jEMhev5LjH6GLI2UjQ/eN/7D4qKI2Xk2N6czWKk3EBj4
Gx1Sy1uaEEwxvs2nisnWufZdUl0N22FRR+M5065gjmQP511HNouom7UdkjRPvhI0xK1cS/SPUg78
6+XTlsNAidzEO3lXs+00UH6l6q697EXywrG6D1WJCC6OR3GLsxFQisXOUBkXAdHibw0jU/dDynHD
LDLiKyKD5bmfmylU6+5RGdx7USq+FK8kV8qTUb6mNYMBebx8HbuVXxhDojjq+Wi/XJgqFF3ka1Ow
2rZ+3D6DA2H3O6dS3V82CkveVupqzgrnR0Fvjcx47lo+DOXa7BW6s8u9cE3zSO9Iv6V4rwVOHVHh
JGqovmYY8eyM9dNiGmfhkXV3kKhE7/VMZxNeo7Hc2iJvnkkSZzVXOYLVbQT39gU5OHrascYYe2xl
xycf+ZlxQ8wI4VCt1lVUQdYNzrBuVdYcmtcfhx+SsbhpmZ+VIfYeC/u7lrcZcH9nbYDYyrtOStt6
gSjZIdFaAOghG6P5SRZgNWUIYUT0OxpdLl5dXiER2YTPjNRM2Aax8vRhN509awKz7UueUQOPBrKh
fPVjwQKM6Ie5rV6PKuhC071Qgo0BVa2jw5O+RVfrHvk69ckcNec+VQPES1h8fNpxIO9qmlhx+3V4
2ihkbvU4Y2XKsYBDNyQBBvJJpoabZgL5cigTTMT4TypGLTZuz9xS1uPDRDYDuLdy7lkvPP9pHlP3
Mcuhk217SGp7mpaMkSIp7BfwO9xTRLB8/8skgB1uvldpxV0paKVcO6vwt8U0eGqc9fLl1HsBMk62
Y71onglDhMET81TZ7reHNjJ5qojlvLBgIec+TDwhv0qjJw3I692sYuel8zDg5TgB6bGni+aEsc0b
33WST3IZiQhRhTxNKVOALdijbwURhaBu4jaWd/4cGQTN1OsDylosyjuD9MFD2VFrT/uFVLSe46hE
CdWzKTK8VUBt0Pd6UHpmv5gr3NbQPM4AfsYxxEIF+TgBh4GaZaz6Z+Z5vyBVyW+enbjhRW/FNN9d
viErEXtk6TADdTXekMuBd5m05nmBl/cIVs14TJm6SXzlSPs4tPzHGtGDue3XXdriTTyny47xsmyq
RWdENQWUBtNL+O6L3WDAMDwN0aVRht0wcJJZ71rXjLMfZpMoFvQ9fJzE4VvkaWS9NEPP+1olMVLl
vOK1WhSEY5eEVJQCBbpTm2L+K8YbXi4c0syOiezApSUMeTqhlBnvkzRyTNIq3fagUrsotza2Dft+
7qC9BRU9ziXQOt1+sRB6pURURf5Ttbb9ChLHjjnKzXqLCmMqrsrR4aeLITHaByyo5BMVUc6NhhUg
blGkrnPfbADDrmPBJM9WhDzg7WL1nFdoh9Snyw34MRetB/cxM5gX1om1i4l9DS5jN4pnljXyK7rD
7Kbqd3TA0fkyPi1YVXt0t1QYq9bKb9zBY4h4OtwAC0PjVRIr+iE/BgSIOO97Az12hDE7dgctq6AR
rH3R2KGWchkVDgEf+OPQMt46yLz3oq3ELY5CbkIutbQOQBcJfOh2xUwEY0EL3NagCIEbL11AzPCF
tKlk9OHPg08BjkjuFRuhDoKcIW6FxVdgyIlHO0ECGq5BTR6ByS0rjItvYlc3DJohq5ntzVR8sKnz
njmpM6h1SFVD0E9M2pcZ0MoJRKHrgrg56CNtXb7pUCIDcSdem3UBgo8dm2oKmrFnUiBxY4x2UKV9
pqth/bTZgLVma7aK68aNmu9LZXXOpuGo9uTPio2fHfO9ye71GN0GBMiQkvIMmJi90PIwCi+dD/0w
VkTErbqMIxkA4rbTVzyv7ZHjzspfM9p1ES3dY28PbEJiLfefLv3iil4839eFLYXi330YvLn8QBMQ
UHlEyJWfyYNdtAhlOmb2KY+z77GJbsRdjf4mWKGcwF2TF5ishHtaeKxIKp2WoKfk6bNDUc5Tninu
c9rwQGt7Wmb4k5m5I48efW/cIvJLxrk80v3LbkxLChGwapLmDgj8UAlkH0HRNNVNVJv1d38u2C84
Bo5mOhaMsE4avbedZ9nrV7AbiuQqi3ALB36SsKcaLEgSxBoUR602qMJQZRsQ/UeT9hBnBo+nKxv+
bImEWzamvcx3VAABtZhIbWmSMS+1I3ucct3StYk330PfZoc3t1qAGJ53Zj0o5wWz7GT6vKp+0sJW
0zs+XrS4FJuMmv0BvQw+6XxZTCL6tc9U/+v8W80ek9XFb/xttq7hgubwU4SXceV+r5MdSa8Npvus
WeGZzGk1XP0IvNzcQYmu/evUj63j1PjiNp5t/0loPelziyKi1cT/wBmM51o5BusnHhxGaxkzWy1O
ajyOXDm4zJs+mXN3i8+CCXCfTo1RrPvNJvK9a3LW0jKM6JU8TkB6n/MC/1fdM+91La9QXyA2SCMN
bXANZTJeZ+ZlASwZcLZLDoYNyc4aHV2e7GbgjetXcYydY+vQfuwwWnYPGitzSa6NdSQ3RnePHNgI
AMONN2yQT3T7upfDrljzkzir9PaLni/i0fMEJTvbZ1aizsMtcTONZSOKDE4SpcPC4ozKeUyoWIdL
65rHxp55H5Z4nQ4uW2Ybz4wTGwD7fNq2uzgvAQo7qjd2XDl5RJYyfwS5sVwnGJU/NtDXQ8kbwuzM
aWchx9kA/u46pQ79zGq0u47gzzlgO115W7MzQerFtvZ1aEz7NQMh/q1gV/mdJpdkuz0V8YZ9FZRH
+AbXgk0ZEdTe9Bmbl9OFA7INlDsgTTAL1HN7ZZtzeguvxwvjzEk/lU0fPzjs8edgKJHH5NLW97hf
1K1vNtHHRHPzrzWg1S60Kz2V7JQrP75bKo0TawF9B4Zxr5MIT5aw83ypzvy3w/OrDg+NBQos/1rT
+emb7P/xlHYx7rWXN02eHz/5zyaP6/7mogJ0qO+L1Xtn8kv/MPMZSD4N36Prcem1GNSp/uj06L85
VKd01wMBZdKcoEr/h7bT/Q2Wh0MA2Zr8QdvW/3fcfI73thgGI8R0aDJbq/ZUMLu+563EypqKKouT
oyzd4VR7FVuZymjkyVSlFRZWz8Y3J9b+XgrQdWWMMCGdU5IcxXTIk04jSRKz+67r/e6BWoKGpLFg
24j4bk86DytmOvj1qZ7tdjc4ZY++Kk/sI+0Ut9sN2RCh9dCsCTirZxf2xsptJxx9hbaxKWc2vxzs
vXzARKfijp6tF39E5I3HabTJBfCd7LM/TU9CFljA0Zupj0s/UqqdCrVLR00PeysbzvFUiytadehd
ZhTiRF1oxbgm3Lb3Nrq2a34Eo1Cnu+O+qbVzGjWZDBOCrg6d2dY3y6SqzSxN/RNk7/GUmbp6jBpl
7lQnkzvUWEB3/GX95gQFyC3dlDRMqb7s4NsAV0jI9X6IE5toCnNukIrzf7t6K06sTx/xjtir+mm8
8Sy188gnDzRSDcMYv1YMTdPqH3KSyO7I7DLPEWbnmWmGM/COZHC+ceFpS4i8zYf6M6LSZFrfOBCg
Qz4zohfZEx9bIxExNCQs0Wx+GvK8OVCWpBqgjL0Ykg+A/9GXGAqqYeiOkB8te7I2mJkX6xrQ6urr
rpwe3MrSI+PvD+gBAbBLlQEZShex1UaDlJBMmYj5ZWXzPOzhGrjkoc/0Z8xXhMzxXbZ51D9FFQIq
f+o+giu2sPfp1Zc1uOlKJA0RsspL0JeB2hK9HRZZHN9LC+5ySPm0uPGyEg5SBQufu1wmLhmitfMh
HqRzl5taFGqJOz5HXWScyZbJtnbszNdqab71Bog0QACLs43alDlzyuTVzLrSZY4ZgM2Z8SPihyiE
E4Ukz0RnYfafkdBWgd27+RHRfBSfph7J3HnmyNK+oPCVX5AyYU/BHXZ2ysY+4dU2H3KikkPNroZr
W8rWCfqx5JZNTdndYJr7wmo73GqAqrbGpH+zqvILQAUMWKVdtccxs4ZNQUDEBxQCQoZlp7xnMkCH
x0Vb7QVjVBBpGxVAA6h4lAfdGuwMCWRdFciTpulLgmBQDyF1pjhQ8B6QNZB1YoNu09jaLlpZjp+j
TlbVAteLMMzrpqWSjHlHReexMe4mWzwv0n/Wu2GDbtjfdq6OLsN3Uqo1lpu03R5Aj7HXkTx/siPv
MY6abzrHA+xsyPS2HV0kdpTsqz4kBbzdyvdW/JhjAKth7uA3xLhQZIL6Oz15jj8dZ7RV7JsdK2HR
i+Vk3EhfLvHei2BfBUPXPJep1gz3Xa/QFOpyl2lDdIdJqibgOG9u1GiOoVxFjYPu79FXJsccEW17
Nha0qYchEqUfeIPKTrmpw8lOJUH2m1mv7RtJmsPWNevkyIlXbNuGZGTHhfYpGsf7ZHWlsjf9ciIn
SzvEsNf3ucfyHjmGtrMjtre+rqZdtQZjA5/LP8825pYS19rJS12qen0JvwOtBrwdi6i8LrPPFKVz
EsJwLDmoRwJvzC0SCsr2KsvNJaxJ0duP0GGCUZTxzTTi9g2GbCFDotDto9173c2MZ+Vpwr8yFGB4
8jgsC8IAAS/UbJQ1s9xlzclR82ckpk5Ys4E+zpiftjZ/61TYen0jCrOl3WRp2MDaujUojeOSdI/A
yz1mqq49m35nPuInQBVK+EmY2GARAtUsCmFwVCNcKfL8eWHrA1LXnU5Y2PHbdeOXghhodvsD7HYa
n92Oah7mwmW8LZZYfaeKApKYAvyOHCar2BCIOuznSH61Igdjpov3a5M4lVjDpIZjVKqCElbUXafF
8GWlqOwI4hgP1dJOvKVRDdmgb6YJCnWZ9l+NitVm61quvLbKCFJ4LB5iWiMAlUvy0Ch2B13lZXvy
a8tNslAoazhtCRbYbeXWCn2fRrAMMYxHXa1eaj9Pjs5Ezs7aAD45PUB4VmxvJxvduB7w5BIb56YU
6or7aLXguDJ292zWpQfoO/2OlBsXo3KJmGdLZwVQGAvK5kZLuQdb2IZ2Qxvqq0pa1Kvd3FCBzSt6
kzQx20FsQ0FeQO7g5OuHNsFZV6pvo900tKe5LFtCcmb5atfdDDqpmWgPFM01tQp26IOVHLsFpbvf
l8fYhiXsx8N2yKffEXINW52KGeBzlhvwx0evk/EBtZMJQMa7HUV038sKm2BJ5pM3jPYZcGK568A7
xyq7H3Spnacku4O8h9p9Rlnf6cVt7JbLbiY5gKWRhE5944zSIdlJknqc49zY2CPpMR0Vjo9WTj1u
Griv9+2Qxs4VhUUKbgCL43prsHLiS0pnomSo6SgU7hZgRX3r0OfQt0nkcxguyY7WPk/SmFWYuhTA
cXdDk+IsXMHbgftekGXk9kKoQ2OnD7bbORlu/4WtjESxTDuDcldQo5/ZGGRf10g4u/KbqsVMCAu0
gA9GbWhJ2GTd8slshvlTWevzldtnAqdZJfet0tCXkysCsVIoCh+6k09M/UXFPRiT/qBKfaHPxYzp
get/URnYRvZz2dWok1+9QalV3nvLAP5JL2UIJ26LDXKCwujFr60xaOB3J/tOKq/dTV4Ljg8PbbUp
K6bXnJoXumyFtAFZavxkqagBI1T2m44IazYdpbkSOhdrDHWIjpupHgApsboBJyLO3Tx1zVAm297o
UOXRRht8XLvZqO9sTBMUc1SClUC6RAwsOQdtJQWemsWT43DUEzWciiTXjlrbAsHnXAbBBDGG/0HY
mtMHdb+06Q7zImRQz6fdmJiDE+Zxqz8TvgTNcM707OwlXXtP8XiStNdUii0YObkELLDrUFkcFpHM
4wZVw6hvdNW5RI9joPlUgCYKI+mL6zLzVnQqD/8zsETyqqS9N/toINMBww9doWqi+0ftLpC1SRYa
HAW87kTUbc1ZK28ttR5i2QG1+ArxWR2t1NI/4YnNAoSAEZj5wQRp3SirGhkuvY4duu8/M3kvW5Ob
BIlV/I49gWgYlyPmhicatXC4dcVJsyMpauqHTG26wTaCHhZWE1hOAkyylR6szTwZtsD3bsgWwIg8
lf31NLj20Um8RgWob+yzLLohx6pQFXtrdTT4PLQrb5DtGBaVpV7nyCNyiD33R0M57imyUPOvpgmX
1Fa2ZmEUi9i/AQdqBoZyP/elKT+piCqRE9sWonVCw43Z1o8dLdQOM3nmPJuNRStYepTLUsQWrCWG
f1NkSn0ztCimKpiKF+bT9CqdNMDcGLY+jzi/FI6k0iWzp8V0EyJVx2TTkx2mqt68H0RtbsHaw3mm
f7uluebv/bkctvY8jtRUxglPNaBYidGDQMtpDjIbcH+dN8kLLmhyroy6tnYirZGZNaIBiAnpKSjr
mfCLqG9hbhEgZoy6+4pwab5GkrTcenA7H5oJzUjAfJ6BexXy0a/04nMs9CIOQVP7YFPj6AoMm36l
NxE6J8brSW9j52wuPRQGvamPBoXjrbbgMYBk2GxV5Qr2/jC5bTsaAmybSc7UXFa7yYFwnRVadZx1
9uIN5IvHuitMuoTdtm/ajLhiutVZVo63mesaJyaJEaBUwsviYs6RxKoQE4wkNNFarFdlRlw70Wp1
kI+qxWYkedc7Kzs1KXsUYlFaNlB98TXJHXs5EIow4WodnO9jX0+vTgn3PmgKf74ZDWM2d1Nn1T9U
JP89///y/H8RUPzk/J/Kr3VFrMLbs//lp/559vec3y4yMQ7+gD/fsLJ94zcKWg6SOioCiDVW7d8f
Z39E3mR2Wh6SEMtw0cb879nfMn7jiO6iZwDxs8oG/y2Sz3vhje+DBMK6aq3AoBXo/VbghTAxyQcq
5T+aTV0JfMcWVAsXRSZI0He0Pv9UIPkbpeffXZBiCDrPVXfjiHegwpxv3RhNaZ9MjDChGKd0v6zq
NafwGOasPL+QsL0tbSDf4gu6lsP9Ql7pQX54+wX9zOFIg1z25NaJ85KtrcVLs0ra46+Eee+1N1yK
R40kEEGi7uoglt6I5bpkSuIhF9YpX3vwqYtUFV8MpUnHiKmqEhTy5OYZ9cq1Ufvzu/o335KRhIQY
fwEy2vcFnKll5tC1zjpJA1la5TWrDM+uVptcTBvl5xcT7+WjfFFGoCBFyQGX670XGc2Eh7INSi2i
YBDz0gKmI7GZMp1m2Ni7LLQVMpzkChsv7U7V0SSnBlrTtpzJRwt0Nuy/0Or99etTC/MgZWGQdlzL
WJ/Mn2SKGSFOA0o36+RNHKoDmMyrIivnj//sWmuWGLpIErFR1r29FrEWeoHDwTqZckJPYGnylbP1
fD+sbbWf3+h1wPxZvIfhGt0edTnbxbIEV/btpcBjr+XnwTqNUfJdGhC3aWD+u6rKy0UQeF/+ySz1
btQibLPc3iis05IjXMu8kWamt7IDBb23X6mdxXp33n8lIoSFgd2EW/heUEpMpxgXUEanzICaF14E
lCLS6L4VnWyevTanI+ooXtJVcKqS3jyCFTR/WBb+/7rW9ctSKAOexau6Nhne3tkI1iVxhrl1mr3e
uDLzispdu7ZGGk0yQml8lts8N+jVqQUoKaEYvLz2qoBmBvmVAv3vRq9lEVmA447J6r0UMSfxeC5z
AmnlSN/40qeaKrSBdDL97c9H1N9dyqGYjIKWpcV4P6LmxqPF7rbmKbW5vb6/ooGJN2Kq98Bt/kKN
+HaqZ/pecyB0lygGg8v9Zfg2SY/LuG20qwiNAIx2guqeKxOhyzIhVBorxezw868n3k7B6yVdj7XR
pNa+PuD3avomX8jsI5riSucovre8ikaf7CQ+mElDKy2x9rCfpxvIgQdVQcwrVaIePJHnSjsPmzms
orVZdplBfkg91IKaAlgafnkqusgyfv6R7csS+3+vBI4PBxLBKmLH0kEi+Hv8OD6fzJo5wF0R+1vu
yBRednXqkOYpZD5gJS4VmmKahV0dBXXWKGcr+GXnDnEFyWBZQeeZLCMeZGTH/etC0N3rbJATuPnR
1TbQMCYhnSFUGLagzYvFFh3QpekJKr476Bk/1q1KGlfxcwAADPM4GVn73K+qVS+2YOFl3EDo75m6
w5aIlgjbiv8E2lLLAKpGrTgIYu4oVrvwb8LST5w8KLo0MsmFSk1nX1Qt11gFKhfcX9t6ABqs0YJq
SbUSHkRCJOmmsWihotnrl71Gy825umhzZR+X6PA6USVXnE77V1Sk7TOJGUZzVYpU3QsquHea0Wto
PUCOp1+E8nlk7kKUZ76Z0Ic8kc7E2Otz5yXHv0lzgJr0ixI+AjnRrCv0iHCrRCb1tVki4zC2bnvf
OX25tyfa3mSGWSAMpT8Sn+3brDAX9ZFGY+CEpgHNb4RMwZyt+Z70rehJWUa6vwjkL9LxS4e6Xwzu
jz9F7r2U8fJkjEjLGn+VA1zMdmLu5GsOZptEH7MnEkFGgnwu1WF1bRR/Cxs6iMGo4reUa9t96blv
+P5py15WuYqVGseuA3dblUmXHWJrxgmqXHdtVCcOWUMlNXD3Klk3JheN/kV8p2cG3W/UtPO20DVk
QxeBVJu2jBqqpvaL6+TcTWr9DeWP2lNkBOqR61xdWska+ha5l9aIRNyYVwOIabtr9hWhbq9OnfD+
1Xqs4m25eOI20RC+hsom2zJA0IdywcXWS9Hn4mkXFUTezUjL90nqWPX3Xk+OCIXNGfCNx1rUU42f
d6pgXd6gqaW/32CSv1mIj40DkSLhBi5ovzioabHsVJ1PrJsS3UNsLsZhWSaYCEbsWF+qcawevSVV
N7Aai5BKeS02aAKEx9FT767SosZcWKxSQlnM0CarpR5CXUYO6pwlJfvDQRe7ce1M3Xo6RcLSSkhT
KHOfDG5bUlKnnRWoalGPOYDa7VAnTXNFsQCTL2MSEBeH9jOSEWKhsmgoEQx0/XfPWiAMGO5wC1Ef
QJiaM9yKQ87MFCyrqotTKvbrHsPHZweqn9yBNnC+4iTEg95X1TVS5y7erUYOMAZDk4Yiq8kUrIf6
1qdNAZ9zkcmXeFXgunVP9ZzD9B4dYnQSqnfbvScn5xn2Owjcqlm+YMWsr0yL5EocX9bypSranLOw
sQSSkmYHm9kGCpdP1ZeM7lQfoi2XYa537n7djFLBmdE8h6vFYNuyB1xBe+UOezPhKgmku6rWo/uB
6tURO0tzzDooUsoe1LcorqdtoqXamfD58nOaj1YANgogdpXCpGxluqF88OL2sBs9hG5hZJRJMIyd
2JUc47PO09CfIVim7RnVNUdprPQUmdGf9gEqBdcEQ0ZtN67XJ99M1+x0vQM+fBI6qxSuthVBOqev
5kdQI2mKenUjkeVJgL61onVT1sPHJnfaJhgruRtWQn2V6F8LV9af/SI1QISIeSc1IsmHgs/hR315
ZlUiL2Zher92rHaCRKfzRF1cCNfoD6o7LF8NhDF6VYHmsCN7ucgGNSPjlZCrtHNbN72RnYg7WStZ
5oyGjtm2f407nQmpXnzxqAjiIQaxR8nauaBttt5A0We7JqoiqCIkFQ05UtyFwHsSXiOBYPaieHFV
0R16Wi9oMQY7QsNoWLRru2L9bWJu5P6HDw+nxArBwuyrzZyjpETWGjo0Th/HxuLVHxK7PVgzqNDD
RXzaNAzbteaxto/R6jwbdRuzn0vgbAizNmrgAokEckWd0Gu+q2a0Vmkx2LTC7eW2yqzpG56Ulvy8
XLM/oef3j13iy0NBOSfZVHOc0jETWfK7HPuXDFnV1rbSmABGxfTxuaBvpj2ALMW56xkJZW7UMoFT
pPk2mab2kGnOsiOdovmIk6F0N2BMp4/0lMt7JIrfjWL5PBuW+JD3BsIVpwBJZvhgTayhMV7jPolf
lzSdHuLB5cnxxhNGiC7LR4oIuBaifAqppy2kewXjDpT5PBVNCbSLeTzIYQFMh96f9ZPV1uqmlRTP
HPCB2qYr84H+LU+BtDjqCU9aRdT0FoxAcTN3nfUBBmvxoRXWcF+mXhuQB0kbZdSKLYVY83fShMYT
4E7KcnZkpM5GeiZ0xYR61DQsk78p24Lpwo9saIeedYVd4feo0aaHqY9zfHQDYEdK+V/yycnjoCsS
On9ZJZA+KzO+9RHN3HT0uq40f/KdTTLG8sVIpwZ+Ov3CKrWHk3B0Dd8FMavdXjDl7QgKB22Ei9Ig
cJEsN2rYeAEfnbxpQIqby0OTJiR0qmE590Q3bvwxnp6Hom/pWUhppVdzOs92AORBA8sakRV468wI
3PZ+MsgDp1ztOnOX+iNGZ8MPtHwoCTPQXD1HF+VNtxMr/HcxtvJmaJpxP7MQnqpMlkXY+ElE91Fw
vEiY3PYEiYgUSXmD2Doe3fEcGyNV5SqLyFwE9tQ953NPqoUq7Os5NZhGUQGA426bsZpCo+yGiEZs
bdz0rlrsDQ4qcJhe4VpMiGL6VhtElux8QqLQAqLvsqzW2JqFsxzk4Kb3shTtx0Eo+eQVEAfHGTP+
klH4zF3HgieH7I2GWuaGZjO5KbCrJXnFoMM61OtkCUGTTYvQ4lbdjQvnlKpAXBHYMCM+4A+bP+rd
pMGp6OkUpWZr7v6Hu2vrTZsJon8l6nskMAaD9DVSbm1oP0J6b5+qjdngLY6XeNfB5Nf3rO0lrHFs
FW8jpVJeAOd4djx7mfHMmeFhL/bQqTzqv7kTHqi1uMNG4m0C271BolL6bTnsSX/VB9fWaiDRo7CD
RG/wkILYPUS/89ADv+UQeXsgb71jZ3GAaqYLTy5v+kE6vxK/UFZw8sCEfNdDX06O7HLwSYLd4259
4iKzDqw2UTw9BA3fudMZ/JRno7lis3pYpykqirgHDrvElUP0AAOx4qHr3X9HlySOspr5w68p8sK8
DhoQROE0GoUhKP6d9BCFwz08tRABJBdl+uh7m3xNg7v0p3uSndf/mVhoMRDFO36etQT8kNB4/ZEK
zBihKb9PAxbOsp8ZFX9ywdMABcn5ePb6lbNFLp7dSYVZ83vTTZfCIzK7ZSjOEjJmvvxPib31Y/Z5
Tvn2vxcj25W9Uij95QWjMYn9YJ1rw+BiPw7JNTEbx6vyOR3MrYwOb4LBDcBiYSSEgXUCoZDHEb5+
ZYx/y2esxUU3aW6yxiMKBSe/PfCCRIIIjaQeI97AIfDXFvmUhOiwF5fy4/r9EcqqW2PzkMdkxjWS
khol/IhDtEcGWaMvmZ9IDZaBo6xAf97fOs5oSFYkphpJIaNrpQVl6+l0wG8OTjkYtq/NtEQwTViw
wjfQOpuZ5o3ye0Qn26r9LeXIpTSRUS6GkGRb5AtonDGNk5l3L3vh0hZ4PCOBYYBd1+taWELGqMuK
ODNnJBKoLNjfOJqhEaSpZZRCW3h+Y74qwaJyXit9/wnzfndtwnuFrgVgPP3EX6w1UmYXA2hZf7G/
zP/zhIkdNY+coQXbmBAWGasHHFQb28uE4Oxa7vzbAStfe3VMiBDEx4GcSmnYNELwrg2VMD9gc2K8
iHWQw2VhL5gwRdzLpWHZIMRR7bDarh4TJoT6Wy6NtQlMqh1L6DyJy9BWBOeRLK0hKsg/aq+SS3od
o5TZ1LaDdFAb0PfE3LccUJ9ZOD5d0tXBBbldioCZ2zrwRxZmj8J/R2NB11oJaqVCSKprCXxCU+Yb
2xjAbezoSvIfPF6U5B5YWLwv0USiupOS0xt0rd3gjCzKcx9vaSwcSaYBMzXuwlq0nvbfeKaLECcS
06sBw9TIwiI7jencJDNzXKQAtJf5CtzoYh3ek5KbgAQDx4LcTV3tN07pfl7Zp8aWXlZusGuIqmOY
hfNgLTN9S9E/09T0KnsQ2sKK+xTbZktxv9L4Fjubtmi1yvawFVvYiyurxPAy2MJCUs8z2FIjjSVu
bfHrUujaYoOyBgSMxtMcINlLf/HUIlsVaToyQlLnSjIzdtZ4wSb6dgXfP5IVEM1X6KhWBURxFs1c
mNxP3ISqslutiwvyNoRl9/IpVRQpNY8Sa5jsAKJS3HCXQl8VQuVxxxqpGy/YHlYW6qob1bEZH3sJ
g8I5S+2gdaMqn6FexrD6qk1J7bCy89vxLUUAmJhTEkm1Ei6uWog3CFvWtW2DaEzs4dSEy57JClV0
+1Gqiqn1JWKSzg4+SSLpxtXNn5nPk0iqaDxoGeCqNo0NXAyFEp9pbMXmvJGrYnTGhv4SLPHRQPK1
rGJMpvEtEQKhueU9k9rzaHid1nej6H9Z9U0jx1alLvFDSuKj3wAAAP//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14808</cx:pt>
          <cx:pt idx="1">33145</cx:pt>
          <cx:pt idx="2">5599</cx:pt>
          <cx:pt idx="3">23161</cx:pt>
          <cx:pt idx="4">1945</cx:pt>
        </cx:lvl>
      </cx:strDim>
      <cx:strDim type="cat">
        <cx:f>_xlchart.v6.5</cx:f>
        <cx:nf>_xlchart.v6.4</cx:nf>
      </cx:strDim>
      <cx:numDim type="colorVal">
        <cx:f>_xlchart.v6.7</cx:f>
        <cx:nf>_xlchart.v6.6</cx:nf>
      </cx:numDim>
    </cx:data>
  </cx:chartData>
  <cx:chart>
    <cx:plotArea>
      <cx:plotAreaRegion>
        <cx:series layoutId="regionMap" uniqueId="{EA7BBFB6-03A8-4488-B677-DB6A8381F6EB}">
          <cx:tx>
            <cx:txData>
              <cx:f>_xlchart.v6.6</cx:f>
              <cx:v>Cost</cx:v>
            </cx:txData>
          </cx:tx>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T87ObDluXOnWT8QIzsMtWYNmy5Kl3dYNw7K7OZMASHB6+v+D5X3OtryPHf/pi66wVCoSIJDIXLnW
qsthr6L2rrIoW269Rm76kf6PvZfpWFYtk/L7B/DrnYCIh36I1ACA/JcSDaSNjv5mq29+uLDlTpsT
7k5zCtSiR/9YxbkfvijNFMh0hIUavgz2NqvkOFeDLZY/PJWfS3BWA+cvGrEAFYJpyryviifyp3oD
b/qaJ3sfqPMgBafe0cq7MdnOW6xWlsjvx++8i2RcEwSFXcJGJRXx3pf9RbIjwBKT9VpWpHLWBc0d
syG6dSjHIdNL7e9+VnXj5op0pVJhIoLKLvVjJ0L4EL0F2RWiZ9kpyKXwa9yHbq768fX3t/nz4e9H
gNQ2FZsP54EYTpn784LRSx7D8NjX11VNikVgw9Di+djrAqEMXqo3W4+CxNpsmmkZzEslCv2H5/PL
ZNGiNVUNgDYJk09o+/k2YglsvY3h8Nq3gaHk1EQvoDyosvAgrj1omM2XsdCq+fKjS6JEpwzN0aoN
NipLoq2J/N/Rw77a2/naXxsxdH8IK877ZW16rsClYUQRAqb4vpW4eksvkn73XkcotbRXYTCLVt/L
fapEny1yM20ugIDvTO1NdiChcbNv1iN0hPwSeK2ti6zbd3u7hhHZ0xnoEzuk9aIDGIUPYZcUe5e5
Hi14UAiEgU5/Ze+JIao0VW4YI79//u8qPCIVfQx0OSHsziAMWKw/zzwrs5dzP4uXKBiCOsiETUNT
ApFqo9GjR/pdnLC9Rc9W+/wOpgDhRDi5KZXXZfJCedILnPg/7SH/fRQHBycZobtnyk/27rtl0UBV
6PJyEC9CsYvk0Rub2L91ndKDGjNqg/K/Ecq6ct22KNWlWmSZEfCX8KGQe25dqM4H+FWWpuMdV6FJ
ENY36l2jA/N4htEzTNk3hqBQNbTlvQ0b08hqW3NoVcw+D2joE4OQwyeB8RN3KxVY6gX1xsu424bE
IYLRG09hBMvLzZq1qEgw5PfLJ3Fh1BDxsJoG2UDywJ1XVm9yg0kEHbq6MewpKJNZOfOj7w37dKNU
k6u0hcHndplVAKxcgBsvxec+7nP/ebZn09+PKInhK8OkI0X5/dp4HzWZfUo1CA0I1MLgl4aul299
4SSifdmdDi1lugI+CEO3rIf20tNyIVD8/orvoxHQBmJdh3Pb8Tm737eQR2WjNum85bO3a7MYF0Be
wp87QtiSp3CWQfgCp35nES6unsbiFqQAvPMPu9yks/+BtJDlRiFFLGcFAg0IA++RTIQWWlpJ2D13
lGYTnPMBLejfgywNebxsxt45qjwaqnt6I6blIMpgKNBiTO48pDBQlnZOJ7eQ120eh48rgrt4Q8zj
0P2fYsuuMhnsK42qFeIDolM/B7HzYbSazU4rY34Y5pLs4jI3AAM7H9Kl9wGaAZKZ1GsU7Kjz7yf+
fVxDJw2w4ppRM1pQxHcgdRPCdlrkGD3NujdssUDBuL12592sW58ky78onWVl2a5NYtphxfQ9s4VV
YZa0p+vFzR/zFYwF5qesdvqxlXDBi4613KGqnGQ7C0P+CraGXZcv4Cde6mygKc8qcgzf6PdDcn/G
rkynMqbfju4M5s9/aQ8Dt3QotXr3KZ5Kj701icLcwGR5Rqnyto9d2zbEyRwNAFucWGlCihKSg8Yq
HdJ4Zw3Mj+DQIH5tkxpZS7UgFJDpm+DjByG/9MwQt6ILx1NjRco7CVAFb8w2zguG+4ehvcsyTYvQ
8RAIslVsZOnvUQ5gTidq9bA9eQXFeYMmwojNdpjgw9fJjhsXdGUa5P4cwXshuHXWYEimdDmMbmDv
QoeuauJZenkiSzVEpSWqPVafN8Pr/AdlccISQ1Ri+tmjJmxeVJT7hDVakyYKVlNu8y9qLIep6Aof
Vuk0RaatGrSIF5C8Ja5R/bzNjwmFxh3g/xS2/6UKerdHv7cuXc4vOsZOYv+S6jrL7odbKK1PqAEH
osNbeusifpybjMqyLPo/hYV3x5G5pA9Q4tocSzYd+HfHkSE7+6FYo0+jdlgh0zZNLCjOfubHr4U/
BMd8saBQpWHrGbVaO9Ps+dIR9JgluBjtdB+FY5zXp3zykdxObMj5QbUD71o7i40/rT0H1Y/HVsil
ZyqRMBoOCLvIPI4ClI2pt+rK4SXZ6mR+sAfU7tU5aBrOJkj4pk79/WzDLvk5JjJ4cwgQJBwHvtYv
FRXp4GgV9rp9KsstbPN00o0H52Ox8/oudHdfbUdZqlDE6U8iELvV3kq/8Rf9h0SdWHy1q9a+WHLt
h4f/lwjEn1HF7oc/Cz9s5SSHvldoCOp10n8QfqxWUPv16SfJh706etHn32g9VMlSFJfrd5WHHEUd
/qTwWMLBrZ613xY5fcfpvbYDm4al+a2qo4AnWNrHNyXHBjDcWE+/Sjg4MSL9LfhP8YZAaF2OH/+/
9Bp6WhY7a9pldOqL/4VSY3W8WPm3uzfMLOndUaMoP0JVnJBx970vRHSpk7wCfO2DtZHFsYbsCqC5
BHlRVafc7xYdPOQ9vObLsPbLIj6xVkIPJde828a9YozRsqaF5Ye0+ctc7fV2uUBQLqvzUnWcNlmT
LD4Blv6eRpxt6TAYL1EFLVaeLYghwBe0IOtK0mnz4jX8ANMu4mV6+6FVVbQGUgwufC63D6MvX3ct
E3e+qkMUXe6Fs1pWFGVbHTQ6Oq997XTIZvzZnIt2gNR2vim8gEPly5pvoZ1kdVAmQfEBccYiovs6
t+qlPUWNZ7nistFbEs8fwtpDdJjKJDGYRKSmoGye0cLn1n7t+7CYi6MFndnpbonasgyukU+rqL1x
Klk57X1dL3WcH5eaQIBItHI87p2QZW5pm1FMuUe7KLdKHmwjro0P/QQ/o//LLdye63V1myRPuoil
zBSlNzPrxlD2wzlzwtJ8CPdPypJKmZic3i9HRp+JEsVFeIKSYmbMa6eGl2EsJ+ux7yIT8n26YnGU
Jcs0sAD2nnzjPCWq433ibajlFOxMn6wNds5ZMhpThbZ0KDJ7pzKPx4Ew6Qb/Qotn5rn3UZTA79CW
4lFYfROX/t9SUtDIk6oqMq1siR0EvVkVlwFUdSRKWurnqe51hfdKZZX7cC717jvrbVxH5pYrnrTY
H0NWFlfw+JV8RUphFhg0CvPkg83iZ23SmamZZ6iHNE0mNCDcw4xOhzH+GI9SnidfAdzA6rNgFUP4
2AR+nniZvyQAQKmISoe5+LF68n1M+MiotszgcvRNvEjNqqFr85bjJsFubFsQFyEU9OxKWY8/ptp6
e/u/J/ntfSAFLmRvV3TcAArRcn5tqlBU6lz13sagpbuvXKRwPdgljxTgxZCkwduDGvZ5YqlReWtV
XNIj3vIgdZpy3sIPSacHZgnjhpa3uAKMTWXAHPmcpA3MEh530cFDYI9GhS1fk7cZhE9kBMg/xlS6
FTVaJtDvLM4FejfD7bHfHu3b8gjzpmV+Qh9mLNYPEc16la3hVrJOizc6T+mXIT/cBmlH5dNuVb6e
aNqXnpnet4W0601zlwzSfIpTqZHrwHvyWF3jVJpbf5tQa192/jG03uBHR+hffVNf7m4QreJcfG/i
HJfKaFRukhobnkcMbXi+1Ry58tUJi57lMwZkrAxezSS7H0awbPOB7mxe/LmIeWl722wH2oRmmnod
FuXypNsCh6BTX8R8LnxFp/AumnGLnAmRx/e1UtVjMkXnH1Oe1LNiMGuFjnZBxrYOXLwWFeT98+zI
PbSfyNzqeD6gmYdGmkG7zLl4UJcDJdPUIp29bAEMgGx4TKW+jIbCbGeNyJKfNYgQ6viEnMJdtysv
GeFMXUz+YHdd1iZ+2yEaHtEwXNIyggiW0sgceSFpDNq7Tmr+j2QX3C6wFweoSILlt3dzM+WAAouq
ubpTFsP8HPb5ShWQb7tZ+0tCKK9PqydR0qexKpFw/NsYYLX6PBkvgwRp4frZpvVJvCnaYUDj8ANO
rqe2VJDES4g/4iumFngMXYi6ZDrO3vc9IwfkrDz2fGny/RmJ7bBMT9JbyiW8mN6GvibFyBR5Yt0b
RtRAVw2w8bEdotykfDN9zirMqgGvMkv8DT+NIeEyA47GpsdKpwpOl5UqFjjvlxXoo5VCcQjDF2R3
TZ8gpK62sLv1hKN4R7g5poadAyRljz9AFpTorUIf2EuVu5dFLuH+pog/DPSWU5aDGsrAb4Aoc6eh
9O06aqc+m1qAieC6a0KznyY0IYDwRRNPhEovzDfOvHEj0tQnaj0zeUiRDFSAELkBi69b6NLBtdpa
Rvl5IT3LraslH5Wq7hKvNiDloDnubqMGBuv0EWVGt+XHNa+trTwhoQja8QB0QYc+RUwUhy9+4TmU
5P/2nbD8nVGFfWeOjS7IzXJTrnJYfG8zWU8DSLRX2XCRr5Y96PLoY7PrxXpUJNOgCruQSfhCvGV9
WYvYmYEa2olZRgIivzxRXhqUqq3IV8msk25YxEuYbKV0Xv21Ddu7MJRiy0++O4yT9c9SOfWaHznR
vBZbjRb828ri1onUM4jk0kyf7ELWRZHlweaV68MSkdvIb8lczdL9PGLOoeyzavTcJZnl7mPzjIjb
9Yd/6+snxxng1cAFS7SjWeVdnbjZzA+taE6jhc7UevgxkrdnafiITA8cQqNYzL+Hm7adTfxLUKfz
QvZvNi8NbfOO/jt6n9eu+RlELIt3bMVm3ph7oBPdkcrd9DYgFQq2crF6U363T5sjjjUb1ezKpDO/
+bFkkQUTiaD+ml+9QfAmnFpFhj5WeVHquMqO73UZFcuQLnYPYO9v+KC4l4bhwh8V1m7gwJE+ES8+
adl0KXeb9e3b9B/uwC3NnWMMxZ/+uFCgEo40yVKxHt8qtr6q96ih0y20/7F5C1jNG9Ao8ZxhNVit
NCDkCF3L9w9d0ckBUwgZautRVwHMk3Ra6OLNV5VbmDSu9FeuEc2tuS3ofdwQrmucI0jvtNnkwjVt
xkO/rGZNRvnuNlUalGPfYSVRt+zG09uEgAOboNfEEHII76Nj1del67VR/Afg611BD5ZDfGAFI2mg
G/8LrFxO9BDAq93HchhwR0ijAt3ko1oGwqy0fLODEJYazcZcSXPvf6jufq7tzOWx9ggDw1n9b9Qa
vQ7WMkZAVW+hsTaiFiAOGirtH9jk7wB0dhP6EJtrAVnx/9CU9f9BYlpiPPByUsl/rxEb55EhkyL3
/Q9RQs+KiByW5qFqbO9YJAgzeWQ/guPvh/0zhAA1l/WD0xODpx3OOnd/vpd89uCBsvUeE5hP4UsV
YGQmT+MYR95xH0id/zTPv14QZzuAA4RILuBi8g5sb3BxctrOzh/k2nNQFA0n/mW0oYsE1vy+s38/
wHesHDNCsFsbdwZIPw7tqHcXXNvaL/qpDR9+RIylhG5tjNu8LQhOqz/G86kW+a4+6sXb6kOnexPP
PUVosMYdVtsfUDnn55XOHVFKIcOiNYoiD4juHdC4YcizRJsnH9q3TYX9hdnjq25y4noVzxWPoPT1
xs5MPA4HUgurNDdSC0/qPZvhUuanAEVuYKcroWXLCPWSt7M/cueu2jzqyWx562eJtzD7+2l9/xh5
cL4Nt5uOieMgA3k3q5y7cnJXa74rx8ZEpv17IiTGoNcfNyvW/s3//noB+i3b/BeG35lx/7FnopVs
xEU0fvfj2FuLUtapPRBZhxR1UfG/gtZw9EJLG4MsErjZqr8w7bwlB4meq/ru7VgiSTZPI2rwxTv2
ozQHxu8HaICz/8tsBJ+FYMhCNaQUOsX8++eNuGz7Wqk9aC7w4FFNkEVdF3kvoWLD/GkL/nopHh3k
yTA2ZGzEJj9fqsPAasNKrLh4S0XmADcL1pErO15+P6ofVIz/GBhYIZdC7IrDAiHkF+WhbdOXwWdy
PKsdMcJ4dIPVsBG07bt6+Gfce3ro2TAWYKtJ2uU71SLkxWJyumtOayg4RTY0AvOOG9cHe7DvcaQp
iuFiIzcIhrt8rRoH4mvu0nL6PEqk+cVR1a7fy2PX6t2dMnuwMUIwzC2gNnTwzuCF98lbP68JKUa8
D3nfOXK9bYpyTqDM6DmsoLjaNVSNCwqNqOoOrVULHsWPBCWy+LMybd7SCjL0mMMi/B7G3kqNZrEJ
3Qt6VEI3paFJA5YZqZJ1MbgxdULvat5AihXq6M4bW5PMWW8RUNAcZbfbInb2Km3GqXP2tMewsK8O
oYiwUYLn+AZ5SI5NbIjeEpnvGRSdtYX53WVsDvFIziBLWLU0oXsU8cAlu4aqYr6y6VZURdau3Ug9
BZ7f1u2TR9qbeHfhNiW+uKxD2zJgwDgrcNbtrQ5LIGl68lA2ugN2BYGJ6DKkNcr5Ic8sPRSL3aXS
gz3k3icyEdFyLGToB/JTsCXzPnyi32A6WuSAthveYZuKa9SnSoA2FwdISNAJTqWSjlNnnUPS+c9G
6TnGV0G4Lu6LE6zbFN8Bm+XiI9LyunGPdT9aNpUwgWOdMnxz6aUfe5wKoOstq7urDe8hkIk5IzWD
u4/xyJYvN00y4ruV0o5eKqrpJFb0RavSHs8+pN7lNbS7ZisPOe57UFW7qO/UXz3Ii6VRQIWm5fYj
Fkn64UV4E3fEbWQaZRu6miz6e54F8G3yxK2fzKHztjTa79lgH7UNJRsulJUW6YwOonOIZMUQcRsu
6sJ0QZ+YfCKID/Gj6PEBOnVVUARpWRTLY7BVAXZG1ZKfUSp6F5Xt7ZedWucLkIzhIVKhm61JUN5F
EH1tzIJm9SlnUV/4RYBhDLuvfK2VaP8q7AqngsSBMxy33nSm2AVScnssooT9MjRsR9Ti4U24VOIQ
+WXJ07UtdarxJDjWQ6U/7HU72UfO7ukYb7bXsmLD7msp9KPr+OJa+VZx3c3jdAxGvIfgvhQX86CT
Q5ks8cdIlJK+vqi+VaPMD22Jh9Tm9/0hyBN5Fe9ud9ryni5wLwLcepp46zO/7vFr4SMvY+qxV7UO
+gzvAVY4Ep1zg0/Bnm5JHZzK2h4ehQ82n+LmJEfIx0PxtKx7/KW1MBdMPN19WmK3OtruZF8hOCyr
dLAsjCqA6U5qGvu/xzrKPwIeVvCVJi/55tDqoZ5xhPMwu3VZncTWW0dn7KaHcfYBHAgFh3FbMc0Y
1dakQbfEWR4leRn/Vc1usl3CQNBfR9evneOANwZlTtWVWzp7Qfx3PAVRd7ByS111GEYEB9+Z6o/r
7DXGrma4DsbJkVkel8MXux7FzRr59vUYOmaF5vCtqUHm5WpVer2Fojpf4lZkXVWNV7qHmOiHWmSB
g73vOElQNgvr8yLk8rfECiNzK2f/Mo714MIoENAH931k5ZataFMYUwo/nn1p1iv8RmSR2o6o7jYn
IhBTUmUzSkPvCmp0K67UKtXJFdq9DtpuTUF6n4Nl+4p7V36HEEmn86inA9CiXaXF2s3RIdgG3O+i
qb8Tpa8+b2IlJ7Npbxdjqhs4EE0WVUUgUmjA/hc600PquW1/HgAKMOXtpo8YQTUfoZ5PTdZMU/Ek
y03+pVbRubhd6jXLHSVq3Dntlo5rDObGxlvLHQVkvCBIGkuM5fa5/lJ3Yk9p8nTP/VAhoBSz8zHB
9OlSuCrOtLLzK7/q/S9jHK43NXj/nAoAVy6aT8gCLElFqoubEJPrKm2dJvmiLJKaA44h5CtBPUrk
MWFzItCHOGZUe3QxOUN5D08HbsdSqicXV7AzokLnXIs5/IKi+2mhTn7aZbfHZykgJdeyK/7emJBz
ichZH0kDt8dJJUGO47SkY9sUU2rjN3MZJo04S/JQJy2iMXlK+il59VbhfapVPrzO+7z/rVnghzka
3FsfYsHZ5qQ4yFVOj+SXVhos/XxjqbF52e2hP3utk8PMAk6+Kzfb5yxbiUh2XcXgQUETXkQ0ZjIx
9vW5CbR6gtvlcf+ze+XYvXeqQ2/8DC4n75O+VBfO1iaPXaf262Ks5XHFd8eUwV111/v2dKW0v9z3
Y64+KYwtvnrNTHBw5Tbf+VvH5gHT+uB4k75eVbRcVsvqDeA2cX/OjR8R5TEMS2CP5HLHRfImz0v1
cXfj8ikGOvks93j6xIFf4DKootvdsSY4TGF1apM8uKHD7Xj4uCTtIUaF47HeVX/aC2u4b4Dg77F3
ETKDGWKfFJzxz2LSfkFxve83KvH1NUSlBnSgGz4V3p50xOxuPaI3iy8cen7ZLHb/QzwXHsi8sr5Z
uQsH7WYL/L1Ksq1byXUPkQbSjm+awJuj6WgPqkHl0yYiv1ksUdyDsrR3eIb0z+2kvvA3BUBv5TyP
HRlMraP6bk1q6JeBcKqrZBDui7ZyvWRYXdi3UH30U+XOszyXboujcIKz3bWfDyo+JXbXJ1ddGYsD
fVwfdT397kOc7B1k/H1K5rTzcpwXLfr91xvSMeY6tJdJ3UhUiO3JWZWzXPZQ3j94q299jPqkEhmO
uBi/lYlQD3VRzd2Rlu9WXndVM1QHC4koJMQ8d6xzNI/j/rDFvdLl2aQe9iGR69AODbM2LBhJNdTk
CmfTiMwlCzqdz7egJfWYedpBqBTtw5ZhchXeQNfLncOCs1BzPVGIT8+Yqu4xroKWQryJGtcuemhF
xoApugrc1e7rT7u35e6cbqvEGfrKJdjZl7FPR+AsMblUh3IeA/2YWJg0wcAp2gSdipUXKL0sP1kf
KzRmYeqWfvtx2BxrPy8UmsbMTrr2DYqQtc9cBY5/G7WEU+xKJUYEIFtXNYbQWYgv09VkYa5Zf8DH
K0x2j+nv7bU7gNN0jWFpCTfoPkyTX8cTnql12LoA7OPAfoj3USI92Nzu6Du6LW9wdq/DtOuBeY0y
TGID1G00fiKNp1aPhGo4FjQKb5sKmPRQr9V64RW+Ex+wmigjILFaOZdNoQTtSB1EW+oudL/DyZ3u
rCBZo6yrc39MI7/xgOLA7J7xb1Pf5oTUxFNic8/DkKNzLjC/0G5GCldaQ0ZvHioaKuUyfNgsf4hI
zHS8VViq0djgDYNtVWv1lSAk4/BYilakQSGdNTk2HaYj5VG46xAEt441h/oJ870uv6hl7H8p5vll
38viqSjFS5FgXIsn0tI9LnA78EPMUQNxeNgEiRB5bRzt1+3mtnfKq/QJ26ckE1LsIo2gaQrkokH3
qPo2PCgVogSJMbRJ1Tx1X6ci3094pNO5Ktb8lg5jjDX1Oi7ysHPY+PfJWHqPEQQihYcwWA/rgQWT
wodbvjmDaD4K2Y/xcUSufDMO/fCo5TgVR80XHxh5ENaxqdWtySVubPLg9rI9NTIPHvvGdo7JVA74
owbWrdus/rUraFoOxUjzOqEsOrhuPn/pdaTP++q6bWpHHMIHO5nleBROONzBH1ygLqolT5NxsdcM
59I6w+VvFmmCUBUOKYRIfTninbYeN0Duxz1X1bcch0J5rumvHRSbcsHdulF3nPIc/lXYtHxFA/kF
t5A/cOpUJ9z/w0z3onyuq8J5AXlbT5B2kvNgJ90pElF9b9W2yuYuLP+y++6prWGCFRRup8jN68/D
4k5DGnjD8Nmzc3WlXS9f0VCvdZxVgKNXuXAZdGGDcFfrnFHseh9qypKreXGqr03pRS9NXuBM7XjL
DXaAWFAKOVx6QMbPgO9uY2Laiki3tuVtiJ0reSvB0SxC/6vfmGJ46ztzaq/u+DrMsVUd27CiEQqY
PISXPV8/MGSjqlbcDtt9ACyMltrhGyuII8Zbqg5uWzG6r2VZTvhhtdxDWuNvH2cNn4sFeMiaKDcR
XOJ14EYY7OIMqMi1muKqE8P0L0HVVmaNwCXihYN3UQji42W+sKYmRJNeWxdYyLtPhjdwcva5QVC6
WeJDEKz1q55jwfFA5XkadA4basgD74bWnboWG86iqSpIaW7WUYvXxsWcJxuBGee0mtv16zRt7BU2
JXWaFqCY3zDQ4Zd05OYjltPeFSB1AWUKG1WS+SiY/0ajPOenLiqna3+jfkst0pHp0ObSCo6W7OD8
ojwLnqexbT9HYl6zZvTGQ2tb0r7TS+Q8GleRBFYQOVwaTkvZnheSqiuiX78cV1mWNalcQuqp9tEa
7rxycXDTyw0Tb+vsQByVwDE6hZHCIsr8sitrv8HtbQ5ppXRNVjckafi+UcbOWb7JyiWn9vp8/6sf
dd98QDK4jAeqirwhpCXhsItMObpot7NlI9j3P4Tay+O0cWTlfWmhjVp9NlvxWucnGmbNat825RAO
SUa1vfoCF4CyG3UWceAG26Gkf2XsEWFz+9uhn7e8azBAyF3PxgmNAkzcY5cAMzFdoXkn+qS0kNVf
RdH4Q3HADVHRRkGN4/UqnVc5IOUryNX6S11qq/tnlOM6B0fM0KquPwaSXttjbrv0Xs4CotTUH9Tm
W3Z9X2vR8Bx8C7qUrmEy0wOYobkz/L87K4ls5nGs++2QiHLF0oIuU/n4BtZawjQcpjYx0Kjr5Ku4
TpA1UgnDFzB9EPbhju7Zz+01PMOr3tlv0hmT6rMWS2ksCDAr2i0q27xeQo4IwvH0rEsAhfhmIqFc
7+w6sTc/08WoZYOBEJLWmW5FUA/1q4cxxNwdgnbSW3/taYa3p6jHXHfMIL14Xf7oTYGosEyFqFp5
V7bWchvgIVUTOQ61QyFPQsQ18diahkODt+ytC5mL1F0kREy+RIYkKvbP1RR12yZAYWeQ1CqDUqXb
xT8W/epX7VEsMG4SsIN+iG92Ur/4mFttiNkqfniJwBLfl4l/jLbd88/0/bpnvmGlfbJg10ypOyA+
S1EJrvsRtkn3ze4bsizY76VqjkM4JuVhVvBU1nR3Jc3HPdT42sOyv0qqYr4PYMdegANXN4Ode1nj
hvq2dratOwqvw5h3TmgEoxh7rJN1iS4lKVyUer3Y/HTtl6Y/q8mGxbjGAgUqFOrmm9ht1LC5Mt/P
E3KO6sPk7dvDWFnLSoJgtUcyUCrEvBZBcMaxcur49od4fbX2fN1E6hSLdB7ipmqCA9/X1H9VNg3s
dKxnSoN+x2U+tVXtlEfSCTVe6DJo5m+FtRrEhYza7bO9wfEfndacW6dOOzHkHFcmfZbb/jAc/c0e
LxxUvp+RLPsO3waRu8WQAShWARVqtI13XRza+uDagZ7+gvqAC0qqBC7LGZwOiaWIdlx4RYBbdwWV
d5f6kjz8dqXhtqaL10THqAnbK6sYB6jsGqm9wFRZdFA33E3jOtUHCS0payrP6BZ4MBE+H6m3xvJC
ilbWmQYwe90hLLA28uSjtuyBce7iFDpivd942Ac/yePkiB3H8rcFeQnwsBbFjUUYHl8oLpfyY1R3
ymRdnltdkMGEVwpDs+qVEIne30Mn/TAsXn4LTbL4ViiHmY+XfYWuluMG2+yYWqeispcn7Iv1/aLa
kiEgY6M7HHUD0TTqECs0QfLgAB9Gh6QelksH0KI6LHBj/rV4PjrCoBn9i96v60wuKniUeTGcJre3
/wrV6KRJBA+xVO0OQ3/ctxTJ0XbnIAarDq4eZ0RdbQ9BPqnmZL4sQgU7bex36KBFzhcZxEvSGmoE
1XCGw+6GLUyAwV9qewgLcYD08OMj88lBYSYRYSLtFaMkKei38dbTQt8UrjPHBzsoBN9OAMHj07JG
E6zjqWeUsAGiF1+VcZF2JOAfpGUy3hFHJ7zyrW2r0rDJE+gojazKAwd6DfMKuOR+70AA0j0UIjw2
MwS7g2d31XHHUAGEIoBOB22kE4fZE/8sY9kf3Xxcs2UKts8R0WK+XqdeiUMr5/hhDNSkuVwQSAqC
ChSoc4dbr83d65ivhIqgCSE2TpWTJ9c4KLkYL1TN1WoJ1O3dWGdwwNwvqGJ0T58B09OsCsZaZREW
DttBL1uNjb6Kp/yoyypuib/Ka69rx90CxPBL8GzxTR/rHchVg0OpP3Rb2orO+VwlMB7SDiLGHb7F
o22c0zaKgsRF1SBzO+iOnVOXn7BsUEvGuUlWR35+KD0lYzNv4YfFW4ChPXfI7+K28/6SsCyKFMOQ
z97YDX+paRjSsurBHnHAhihVzCz5Vn0u8Eb6H/bOo7lu7dy2/+X1cQphITVeB2EnbmaKFNVBkZSE
DCykhfDr39jU8Qm273Pdvjsul2VS1CbC+r455pwpZ6uFGFVOHtf9hL1nYO/yrUkn7dgX3NRRn5fu
7TiN7Wm0O7wevUteQM92REt075mNce5yGaTOuzQ3K16EPjyofjWP1I6MZlgQa3s5rek16EzDiscd
Bu8wWFSIRASoc3Cqc3/Zk0OkqgfcsnnUs9yKei51EXaWPcUcX4yrZm0z2MDZ+Jol6/KVnhUjkMOk
Y520y7j2quQnWLEeCVuMXzyO+3tyo4z3FgL9q86X2IG28MGB/H/Fc+NdL4j8e6lG7jpvegNQHu/k
pK8JgVutbnAfbHd+qpWcaAxR73kfELg1eYMVEbt2xRZNO8+d2b8ULDsib2FQ6Whv24IlM9pnIuvF
Y5FZog4FW/2jlI2BFAZpWVrWxzqx/e/jUrIP6t95QZW1itDAk9X9ykTb1vKhF0Mr7NuxyDqe8gPx
obBJfYczBEhgWYu6Q2tAcGxvxQpKQ0+KiVfDjKyWAJfsqBO1WWxHQO51/JLky2x/2A1ByIei9epR
hIno9VGLPGULQhi4saFZ0LTgIwrfyB09ArwzNo6Nnr4SsF06vb4cp3Vhixk45mLvhGhm75vTNCMP
lU6W1VLxHLvEXEWc8+AUiEty0hSgRcBYgSNzjIeqWvFCc9OAsQsbFDST7Q+901Z3iBA0AfXiQc5r
SVTNRh8atJBMkwtEzjV4KUZLi3TTu3tleSMjTG4tTt8/X+JaFbUhm+0x92EZypfipiBjhWQlmhyI
yYt1aU1D9z6VmzLWgO8i8zWcW8GRLNhkxpOByhmmYj9kY335lwgn1f1qn6WLcruXSUs306b6xyv5
M1h411mutHFgYL4qVlLEnJCeKjr4dv9Bnvu7QQTxDwM1gRWcMVGlKTv7Jxm30Zk5ikX6H3qBi+R3
1dt0CH2D67LqFNpz9lRTh3otetMNXHqzIFUI++ctPFrN4n4pPoWu///P9Xd1mR/rEueKXdVHf3Xx
vf2TGJrbK9akNHe/l628CC31L/CjLv2KC1Frkcv+g1D5d03+8jc6JKuQWybQfS9+0L9roiwNvVHH
L/Gj/vU3kpN0ATAsu+mR5gc3ExMQnNIXDctHXiBW/vpV/DfN4ek/tGbyawaA+MP2ckmW+Ftt5tUP
XnYf5frXKAfj1xf9HubgGYQ5kAJwAYdsmJJ/RDlonv8b3IcQxCz7ZJMSDv9Hcabl/0ZOFFEfus6V
domq+yPOwXJ+I7zJt1iKI/wjCDr/mzgH41/UdlM3yGjlHHOJCviXVCoGuoywyCQ9KeIcspDUWPee
bPVth4923Ocs509Kfy84ah9lJ8Qc8AD1H1SrxgOmabW3OqPb62NOQPlfPsZ/5x4y/w4i2dz3/ONs
slkgcQib/OekiWWwV7s0PefoKlu2t75f6rce0wY/g5bYVKdM7WNuCA2zOk6SMbX8QJOKZJTFn5Lv
XtMY9wN6asehdyWq52WT1FQAIM4kS2aD8Vqz+HCo6GTbvduUo3lRRZWUfktBgzdoESl7mne4QKoR
pUrNmEUUnlA4EkEml/2XbFXpoQWcLebQt6vuwUuGivxveLSaXEp21F4/sfU01yJeejJtPLyvU4yo
aN1tBotBlt68MvoOjpcGkyoNJjb17zXLggdE2bYIlEAUCvMM3z2FQPZi7FRiZtVptNqq3NFSxIav
YGq8b7ohKud03jV98rwkqbbHAdufurQw9tNkDR+41nuAcXuJiHe/MtL2BAg/PLkNXWqGv6x7F8nr
CgVCcdRTWpS7W4ex1S+cm45ciHOTZjsWRuRoUDnUPrC3edUtjnoElLdttJVV9pXOK8lJeWJdq6Wt
dr9Npb+wXFgHgG21nFN3e9TZVtz2TBvBsvkNo8TsGOmO5gzx3g91ETDSDwBDyAwMw3ruPGCUkw94
6q2wTrz6zmZ8z+hc7Q3I+6YarC9F2nN6MbT8dts6BrHE3HV+NT+tur4El+D04+JIe49Ft9lJl96x
0OidKQQZdLA/uMZhsRIZuxzC8BnoSDy6bI9iG+fQoJrhnk+9u/Kc8iInV/opBWo4+bgNTlAMVRol
jV59laMxPBEpUfzsZiz8YTlp8pGX9XZjNeZythS5StStOjtBpmUMl52D2qoxrAhTiM28HZ2Az13s
Ns45KHqlzN5KLntOsv1C/yJdVQSGzA+6q+YbUkfUlT0PU1yJ3N+LLqviUdsaFt85QBx06UM21v1u
0jcTAB7TQ0Q6mJvsZiYX0tc6QZMJ3yTUlgqA2fOn2PZn481MSUmri3X9YbI3uyaRUnCiW/qDoAVi
DikycF4Hc90gWbFLHGHpiz5i2Fsz9vZus+4VMRFF4NKh4aGA1S7LdL+rWiYnf40uXP2lXCXRnuxl
IHpKUBd0pJ3EIKQMETle+ByPyt16QhANdIGUvdEVYZd8emJKUEFVERcka+5Yh7Mzb4im+KCMaqaN
sJr7p43WoTOvXkZguXWE/dqsvKzWTwjayi93F8SFCNJKJGqv8P1VkTn6M8KPntt7t2RXWo79F7zj
27urtgWH4CCOvlO09Pmtfh1Jg30eT8L5VWUkUQTSc1YdS+XWGFGZ96UfpnMzk1tDusu3Bi19iuyO
RXDQgqapG6uW4rgYG4xuzSGpCGhBzOozMSQjUvaKDNqmDlL6wEOkDovEq25tGFPWaHlq3hLoOd87
vTKYAJtMLYwRQ3UruDE48RKpidkbm++O4VdiNOg3ihp4HBBd4FcEfSZV/ZyMTfeQT9bYxktlWtcJ
ZNKZWuR2iBi+9duc3oIn9FWtiowpF5He8ucO16gfM8RnJ7XZ/fXMHuru4o37wrjWPHn2aITpOtVR
Lecy5vHMw9ceyvKjSEetwcJDESM4Q+/cDaTwal+lhdMiRDHxH0xr9vIYLZUAt1SCDO+EXvs/KM/r
TowS82vKJBqq1VAPxqi6A1JmtGmkxATp1GYHdp0KnrjLxFXmq2Lnzqp/ZA9PfVTCvureAIx9aVWd
P7gc143DALRyJwReN8IqxhLvs5sN39qVnX4gSN5kY7QWVZw4U/mWdX5nwG4v6nr06A8NUmO+rHAs
r2SDsY7ZrbaMWhnZauCvq9JR/eT57j/4WjbvOoyj3xyKSKsw9fXtTD0LivJqFcceB0fczXYX82xY
jrickq+qVAb/wUXHc56bnLEI8QwNmx3sltEdpNcsngq7c8/EUvppwDoiu0R3G92JxVmeHJlQpqsR
bPjz13bQPORKnZjZYLL4RyrDjYfM+SgsfY5mTxCc3C3Wc26MgFPSde9AlQ3+1voDfMnnQrRL65Y5
/1wkPPo3uzqnbH8/lqE9+u5UB47Nhi01amYmvZGxlKK4We3W3YtWk3wBcs5tw40u2Lp78409oX6Y
qGoR7IgZTAzDQU6M7De86N19b1rLlbA7UYUYEptX3NTqQ1nVcFViCor6ul32l3PJe6WV7QdXqY1f
a3UZskXhKi8GpslQphSpfrxO+yvL69jhEHFEa5lBuJyISUAke2que1IO1167MESUbz87BN43ced0
5bug27aMV7+xliAVqZlExcACgJjdESrEy9yZSj+cKntZ5vR9T0rvX/MBGyBxXPy6sjdNFOpW00X5
sOq4ymgS2hcF7Htsid7dwgaR7XrIZ4cYUg5et0nZiCNHrPYbK99xN7IVj1psf4yzRN+03CxF881i
u8D3zNV3E2IkJncEJMmlKOKaBCbjPPA44y4aWI2km0IG5txFOE3FwoULhIjzN2zBrwPGD5gVeM5w
pq3yxDZPY8U6e5oIrHVJsnCqaKyLtbarH2ZaB27aoljvBdF8j0uldItQPoqdQc9MbTcNw0Pqz7ys
afK+JkUhixA3TfOcm4TW0T42oHKz/QHbsWuRxmzQVMTU7X7A3nXvjO1SIYlo/skVw3w5YNpmH9dF
S5eJsY0i6NkzHD2Kg+ktQ/g8j7W+CRaF1WQGi7a57DWLQp2ZxgFsqBFFDexxOth4oIr+hWqqVWMg
FrXYT7z077lrsdzoXAMJzWqVc1JFz5tAUKjSHZApcXksc5IlvFoF5y+MZt7jshgiajtXG7i+VufK
61kw4Y+3qFpriR+77rO1XKh2dOubovGW5970uwd0O/dbl3jFvnVSwmbZL2sfwsCq4+F2b/bd0C+X
WJBat4LMoFcAAS6b9jlbrjs6+rL65Mncv00nV/6kNU7kYaWn+pH9P0Bc0yotGCzcctEydZk1Xjne
arbOr0P2f8e6/zDWWQRoMIj9z2Pd04/lbfjrTPf7V/w+0/nWb1gxCPmh553hnG3NH1Mdcf+/sQIn
fMgjp4+AC7YDvyf0fY5uxFvBNgsBwugz5kMIj9n//T+m/Rvh7sw8QteJ5fJJ/PtHROHvs9KvqMX0
R/tvZicils2/A9vk8djC9AgBYHJim/Q5XP2FSGe5pamubXWsQOzolCa4gyt6RS57OmCiLs40jhRL
3ZYP7uxdD4NUXx1VdI+yxf2j98NpIoAT06C7XX9u8FasZgkHvSK7ww6nvU3u5Y51Wr07UD/p0tZk
m+lwRyHNat0LQe0rY1CDgesIhuaZN76A0PqCSG8i62nl1lo8WUcprz3Z65c+RYVYsATUio61IN2o
LDgTbynn3kDO1FV+IWNhJLEX0LUyTpm/OLBzZuKPsZvpYthllTDlaRRpDnFSYETWL9D4ulLCxCbQ
OLntaj6LlY090Zit0eIkFDTT7YmRWu3jRIWrTinVmrvFU0L51qQCYBcFSdza7VvRJATGOUXqRps5
UL4Ugwvpygm9wcW1y2q0kAjklRj2uGXYpYO7DuHk+NlVQjysYhvP4Xin6I5WGFeKlaTOtjjUpBy/
LiRG1ugS1ngoEJ3iWffs15XFZEC3aHbIh/wxrVDqA1LWcQs37aEw52fQVmtfjDPHSRKpDox/n1Hy
afYCmzKn8aryo+st17hzrrJ5ml6GtG548F/2+EuWBo3yORClzse4JDMmyfkVs9sQImsRjGShKJTP
i6IYbfWN4gTe9k4OJsXPSTk9bt40BOhm9X7iI9Usiiltl6hR1lDuzjObPbz9g9ryZ9ifn22Vj1cb
3UUXG+fNlnVQOdP42tbDiUd1cyiJ5Yrc3OL9DAw5rNK5kpKkFnyGd1BpbVCa5bOEuIkg0VoIG/XD
yRvnuna25G72WycY2HoF/jSRg2IlEa7Zci+UMJgx1a2JQRWDOFvvFII4FLPKzqhR/bU3zmbsYvjC
dEvQQUPfasCak3lmoDIzn0y1rxXilpd1C7zqusays7WH9CJTNkX6I7GS9tbWxkd7zBfs9Wu112Wd
X7LX8kNTOg7mKN0JrHZlVdnY0270bHHkuZDtet4eO6zZIrQzzWcimX+0dllTWYrmm/DsCMoUb3yI
deC9tUQb0s9GjXSKEsKhcIja9lJb14w0RHIsDmxdkWauEY7umcuTYTdYOSs6A6rkuG0NJudBkls3
ai/2mrAxhK4/ZZ2NSVKSuo0vsf82bW5YGGNQlKw3gkF12EZx96BwwGxcOc7IHT8hikWW2LSfDKzw
hsrDtkX+sqenUV+obb1ggdrBLPXpgZP77D5WopR3DlRYg4CDcVXSxcxUlqNFu4k7hAZM3BMk9hiO
urGl+xyy99RMaV+Hq4WXP+LCKrcgmccPMnitUE+UuuP0aIRKcVmkvqqMgCF1/Q50qutx6or1NI15
cyAVfJ0ppeTSIneUyAcgIn5aYr0GEpaNrqNwJwXQ3znLNGU/0ax87rXZ77aAGBg537AuG14HlAFl
UlycbTuaRXQKcvyaTAuP1stOM/c6JGzQlTPusAKaAFvgW4EFADos1WKgSNRBuQEiy86KE3+r9kzW
eWB621dOG/6zm6ODVYX2xi31YgISBA01dewHRgC7TtzAF5cRJ7DiqtGgmwYPVsuU+XONIEWRrrTz
a7NflRHU00YJkVEbd12dfOkAh8h3YX14lqJqT4Y/7tBY1VlNuXxARtIeSzG4b2Zt51Fa+h0uAb+H
s0gzbmPsCGactA1hkNWqQx2tlDckI9onKsdNNYBI8n2aXavp676/3LUloVj39aasXdLZCyRNle3d
St1VmcjjfB0Os6FnJkkKpFhSauQFlJw392wOXpuptQ/kvPkfvTncQ+tnMyVKFuyAN351EHgCdopa
TED8UVQwf+VkWOR8GXL8mbQCtl8btat1srOdpyYjavCyxrJd8mBNvZTkEoPngbfe5PgZbzdNV9cr
lRxBs05ulDcLZ0tQckREc4pHYab7zEdqx3TihX6BgQUlcr9qac8zeLymLcgNAS9XgnNIjtCJADqO
tGkFDhL0ZUZ8oEHMBP5vASQEjDD/Nv/QLcuekBD/CEaSEDG+6JB7fv2xYvWIdc0iUdAgaloOZRcV
dUtgD5n9w5OfF37EwLlGjEeE8o/d0deY/3pN/lw69wtSYxtv/jzt9EHmIYWwG0quAF5tlmw3TfVy
0sruuyq362pMJvKxWBNuDJ8hwSrNLfHF+plAgTZu9JWA+HzUjxslaQeNCgCELMZ25KuccihGXs3j
3zyVBV26dcnzrnPgF9lGNiQ+wfKM30zM61fk8CbkhDG5JhZrELkWxplrYNgPucjCuSx/Tk7l7xa5
fUsRykABfJ5lxWon10lrJGagCh798IHvHI3nEHdLf5eUZhJmbD1uZmKYeLkz5jh6+kpRyU/pdz/E
mFc7GuIXYCPxUgPjhnU5dM+Vx7faesGWZlrGnyDayK8UaCGKMu+7TCB3OHaLe99s5VH3zO1MIAIf
g1t+m+pEj3iYAu9TV/zirS0vjNF6zHMHkCqlD6FYPJ7rTl69mw2ybm3STUP+HZEryoU6J8l4NxRb
fSYWbI4JAxGhstb3Aek1UBiVg9nnZ5hhoGLd77znQTe3u9IaKJZuNlwXQeZO8LdzKfnx1VgWr9z2
5XhNjLH31Lk2X2tB0veXjPZqmUOt8tP7ieT8OxuP7KtbOI+240AIVunNxVV/sCYvtcIlKyTeloQP
Ossz8YVJnxnSZsGEVSkWW4IVh1w59PdJzRSgdYjyuaPIaEpb8zsFJY0drfyeA1Ma7a1iaDvo2+Ie
3MX2vs3loL9O+vKBR3W83XRLK2LGcnWgfsa6tWtHxcYGVcyTVY4KC/ca+myWLkZv3K1Srx86ZLaH
GYRGB3dTGkcMU7I+FEP1c+gtDypoKFJ+p9gUWmCa3tlLadjcMlQOY5Uf/I0ia5PX/Jpaj+iaEG2j
fsY8WXwdHF9/p1X1VM0ZW/yizejsTK3vlTNAqzq5+WGkhVaHG1GHbKvyCY1jboED85IO22ix1+VD
r7wqku00PILtdEd4Yvda0Yi59xvnbmNPmbDHcyM8g+1yAKguuJwd5X5PUrcOM3Nwb/3Rzl9spO5r
1ms2yw3aR+ycZC5JfgtoAYR63LLTf+hZHFA7zUdxs6B7gH8nrR24o5zSaOs9qCbF6H/b0Eq0J3qF
iDJ3HncG1uIYc/awH3tH2xcsP2s8FVX+wtOsfOEVN32t5kV/LIsxOeiFmx91e+bEm3TOqWuUVpBz
CVSI5XiunlMzL9YrspPqwN+y/uRrJjdEprPkYyT3T2bXqzDDAUBpiGhk5KiUICF96O/HbRlfdG8j
9UoCgXpD61+xVxhvqeDrvxBATc+IO7QFCRgdUWK1ncEHZSTg+VSjoXbAscxPqcETFiuRwH+1+dJy
6GqTq4rzgvvhCus6/n8PvfkLqbib8zUttXyLlLfwZsXU63Mj9ssYrL2zpLEoBctQq8xelTs7GoeV
6bHamtWIYGS066pZ8tektptdj7ZAasG2VEdwQz0qvCKFgBOl5gVDPdcverIk94r/62Gpebz2tf84
15yNh6ab3pu6IaU8c4udM27pFcydw2FedRS/16p+MrKZyj/dNfezV5dnZPlut9aISW3a0fOpbRWL
q17au9lo5vtKQGVH9pZgWVR5GavCmM51s02BAPE8THBdd6aEk3hgkdy3t/iMF5Yw8D+dU4b4oE0O
C7XM/JVF/DSZphy+c9zMvQnExe1m8diOqVPiu5jW1nOh3Qo/q/2AogsFbY4fInQGjF/VJvESWEPG
c5TKNuosBsc6jJljv1x26lO00cXrHkhWl8Y7zWVJpGtFkp5zRfpBwCXcF7HppXOE11CxetTcmacP
VsGzGjV5mAbfeMDDwyxgdNqeIlOYwnHVTjBd8oi1vYim0crPko4OrLOT+7PuW/Hxi0Ts834s9kst
n4aS7LJX0vCmsBb+fD1yPwbesG02GyzP+9F6Mj04U80R3BjZqXbkPD9vEAExi/1NxETqlLvBHLY3
nYP11QzrHKDE3bSu1Pct3/b0SThKmcuv2SJYlhGkc9ok6e1mLWRkZ4YFXki0cZxigyUDCOBRJ4hy
v7DdDfu+aG8ERpPI4mf8MnCKjMdl8UOEgyJOeddxOO/WeDH7MZ4q96jJRkX4+9TDmOb+rseB+maL
RRzqspdBUvJkqlri+9y8zfZ5aoG6t7Z3tvLauRBM2Uwklqb2lSmwtmQ+5GZ/e9kzB59IpTTN9dAZ
VcdRCg8YYdveEhi+mGOuG8BTf7Hjbi2Zb7goSdEpcipfYRRZ6fEaJyKo/DZwpg9a360PWp5YxKXw
Jmlmp/HwZo5DqOnaivvRsnbEMNbkJrva7SeqCV17oIeuul7KqQlp2qI95RPcrGg7/QHXJq6ThKA3
kpLwO7Ua9+7Ag39C/qT4h8bNvsKRU46Kl8683mej7t+ohfVt0eTOgWoYOzYr8HwdOfKU68adx/Y+
YDO5kOMt07fBbQoCcS7otjQ676bUOkKsar2MjSoRUO++9ZpiLGVJSsRIWOdZ/Qry9tphiQooi9sL
1Fd8GVJ9J+ZpOHi5vh2xCVd8fhOCnrKB6hbW3+FaWmwfqHmLqOZ+Q3XPLnnpOCya5av0GCJSL1q3
7ntTVF8/AdTKnPQ2nih0a4PFsmKsLSapOX5yKvLBfoNLo+Y51WnBJi1MD7VmQazocfBOqVi6c+sU
DVfL4O4NvXRDsxf5uQLKvmP/gK8PfpT0JiV1dTOMnLcLXeGeu6x/Fm+QR7/rqnib1XZI8Yj8mBtG
tGIs1KEWIxk5WmfeF6PLRkD2H2O2jCe3zok18GhvYK8VgSbLoycdXD2mVp5MeID7T1Q2zbt35jWO
YmsDFyi2oj42kyT2M1XD+qLGBIuvmq8tmOhnjlJPuUbUnduP7lXmWHPYLRsHxzY7JvPWDYjOWg+S
Pn3zje56Nlb2qYX5TMwQ1LwSYicdzI8zsM4L1U91YF3ynoCYVWhOif1ETogd2FtpAtBlVLU0r8Cb
w2EdssfeMX6C+HD+QzkOmlQ2xLuYrygjxCerRnxHk+sjPe2tSGr180I0708pAcd3KSkc9MDImcM3
mC68llM/eOsIStgiu2N/8JJviqx22HWlehYU6/yAa3xr2dYnCWsnEh13OI7XnMN/bTDjLPa+nCz/
oeGBNQbSstn2FvSX4+fuyfDjTqhjRy/7E+x1MMOHoQUSYsmvSrrXZWHLW+UIDtZGqbWBuZW5EeAs
rppYEaM0xJOeyRsT8frIf+GPysb7Sd7gA623PDy8PDv5Ui9Pq83LldX2R1LKqduX8H/x4kwESYH/
wrYvJ2KOMJPpBlvwogkrBKVgMi+7QNmk4epPYFiGoy73BKe83LD3ps1J+BfXjM1OzTB408FV3bfU
204LF3xY4a/HyKVdw35y1qlQyorOPUmU0t2f+DN09xJ0vj6EDUf9kJMpHcKiO/epusdL+F2vc654
OMfYX5r7TkgChOrVxeuHnP4nHO1utXY7m+IFdmS4Gqmgi+beIZ+rspp9pss0zlt0w6VgOOvtaTg2
Y6qzucDuo5f29z8B6iKZ8zBr129lCm5mEl9JimSfB8VovSe2Mh5nzy4jZ1nnPvzkqu3BVY88+8zA
cWygWb2bTn3HMopgsxDhQFzDzmrsWUgui3udXDDfaa7FWA1hAqoPQE7W5hS7yHB4HXXqejvej4a/
tbsyX+XbYOBGssnvr6NS27aP0sySJTTWUntrnbq/dfVKOxS88PqAsJ3l4BGgc3ZLRiTX9wqEnTw9
9RoijoW74J1zFrdWKuu3vDC820+2exuz6UPLnZ+/+G4/04ZTxxr6flvw1do5OVrhn4y3Cea83fSL
16Lc/Ml4+6OForv5zu4X6O2U4OfSzJs+zDdcDbmkzkvoiXZDUKCtfiHfeaKe1tT+wgnhd+o77dbx
wH2wxp/o9+x7zzOsBlHfjfmY4vQOUeBuPWNI3url0lgAQ4Ir88KCVwzp2tVscqg5fwLh3ahQT4U/
LrtPKrwvcmc6iYbnD2YfXRb7fwHESzKag4bhhuPd3EoiUZy2f+6l6K7wBXoqyFrXJyOJHLD9KosE
53VhvDrtQoDFnNs6qcjkTOG8nraXqRypRPu3SLnL1dOFupzHPaFe+XmT1D1HvLDIS+2nlBPTOqMw
mmM98pq/nIR4yrz+hTUvp2I8SBz5wV+B81SrVEgq9/JoT3Jk+aSX0gkYwwjJNzX/uTKH9DuF3EUa
NWmSLrR1ruvDii5GdDM32u/0OdwQdZVASeE/IehIBATtcKzfKKI5ydIZsbdN8z7Nk+4eH6H5UpBy
t0S24IG99bZxNxCniif9T0idZ1l7V2HPePkFqpOoMxHZ6HvX/aqNL6XU9BudTra9SRCJz/A6WPeI
lC5q/L9B2MfBU4+mabEMXcyJu7RteKwGte01JmfGLIv+lWS3ej8tbtjwY0/6F5K9lzWmzbFPi2gp
h7stHQR9odhfY4s11BMKZHoqIMXCpsrWn5+UOygvB7XNoYngE3XPfBwz4Lg5iK1j04Oo8dZNsfPz
sqcmm2GH5Aes51ikZk8H6Kmv+mRxj2rWx1gOTnmWJCsMnOwN/dxu7fyFWNVxCZyFQJhMm0VIHtun
vUi7l2Unb+x19g51ZoAZqw2AZNBFaMkSR4LWz+P1JzfP9hbfH2l9Tzrnu3PfdvNuIsblwDrTZUuj
ZQ9rVmBovBD0C1pGmMqhvsZh8qEpw4h5OCUHJ7MJhb3g9L7i1rAKM4vzzjpSrODdNYuzHOfVVidH
cxFrnaSKxMjUMXFiDNk396ch86frT8qeJoJ3JFcjVsmqU2e+vtHbk4WmIFER7ZW1opHU7Mr69VnL
LRJleow8nxS+hrNinxFpH6o/Ufy2bCARfOrVM5J2ogt1SzBAy1lW39D3K7GGjArbYe0XZ+NFNkx3
ntuyBzb8qor+QuivGS+bgmwiqtbxNp41t4tmG/nmT1TfKGnh9tvtxi43/nc9uR+sZb2dyQINTFU+
+4P51Up5WFOoEufC2iI2JW9+0zsB3D2ulzlLo0+iv3G1dmcapTjMkPgiLR42ioIBEW3Ce4C9gjTd
bi0sZUFVdC9y6Io7J51IDiCSt+vGvdqE+vYH/G/phk7xGyfkvzsAar/o7uepu6f0pyKUpvV4tRuX
QTCrtFsPlAvDk5kd6bI0z0Jp34XmTtf4o7CY8/zHXndxCFC+9HWc7Yn02eWsJLxLX3Uvn1rsf2Xr
/yBb0yNwKf/7n2XrY1VhYcn/plz//kX/oJFd8OELtG7QUIBN9AKv/6qW03wDUdumZNyDLzZt1wPH
/125FiZ/xLbMAzmGQdfFn8o1ovZFAyc6y4cj9nXH/N8o17ga/i5cA7hTG+zbAP+4xyzI6L+j7rmT
U7hpDNlp6Qw3h/hgB0aJC7LgJ6CxXliNi1PukSdax1uTWJkE8dgDbk2ZcbpDzwMoCb0L+7F9YiDV
JxIyXuiQ6RMUMT6hkfLCj3SfKIn6xEpWFktoouagztVcewzbpCTBLn0CKcmFTQGI5aA7XIiV7RNe
aS4cy0bqWh8r8kvBW+Y2OQ2UqSu8Z1r37l9IGO/CxIw8MGPsG4AyRAYwLa+ebdqRkc7CPPsmG6GB
UvnrmXTGoFbTw3Chb9xPEGf9hHKIussf5YXUWS7MDnnblPOiGDcxtXhaFhbeJeuksXWWV04hHypb
qj3fnmrwrV0P6eywvpN9fmVk3n7JTYaSrM3bnd3YDuHWGZt5RNHSYO+ZdDvwKPOl8jk55ySNPxrm
4sR+Jr6lasXC3a7k+G+WdTeZRX9ULaxVZph3mYNtyW4ckpvX3AkWbJ53lquRJNvMD7Y+k4dRVUzN
cnGzD4dF717QXx/2blNeGXWNSd9ZOpxTtLbRFJSn1wNxTDdz1pDaNE7bdNbnuDNbYtVkX/8slOPv
VCnW3WDnXpj27vBgOv6HnSRtZCRGEjpaRuzZwH9k9vbiC41ViIsMLisbGz7dUy7Gs8eiH6wHa/GX
K4s4sLt8wGIjS/KnTCt7Ywqboy1driodlzSZMbzkTXYGvfP/2DuT5riNbVv/lRt3DgV6IG/EHbzq
i02RLFKkqAmCEiUkeiCRaH/9+0DL78n0OVJ4fgZW2GGR1QDIzL33Wt+q0R1VY3Gfq6ygIsnbk02z
ca35RtaRyO4gd8GhoOOxTnhiP2bjHK3c1h5PE8DYTT169tYiCn5jjEPM3CGKH+YwIL03hw/WrdOy
EvzaNFVbkybbpSMb82Iyu9ecv49oCIBH0HO02CDoEucAP8hdiDqYs1SURqs6nueTu8yYoPQYRCqP
1X42uvIMtYhayO/0lZ257uWEVqKm78yE026vq9GZn3uFqXNraC0v3FRam9rN8mblOL27abJs2Hf0
+XYG0kMfJDVhOP5137dNwLGGAVBThek6TJkEo8+GBtJyD25G/HFIUcka8Wf9aAAKI8r1HCbs5xFU
l16Mq7YpP01Dl95KR90YOn+0JiU2NJ7OVmPm2zKsv7aIFo/oxh4nfHO06drPBXYfCh8KLzo20JxI
Q1mXy5WaXqGm0KhaSlNUf090k/ELTiI60Jk2rodQiG1EX2hDsM8zi2F7Y9fFuDNa/KB5FnvHCVfy
o+sbzElSrFlFpEz0eZRtqXERRNKjrrXpKkcIOoNC7Qnys49pe0HEGPI1yt5GQ/gqwQRFjOUZLnC8
cpHKjimQvaFOdhnaOFyMaYtpwMnv6tCLjz1Y29U0Z84RQCk6thHpYakze7Mc+Pck9/rXruovAP8O
R7zyUQY5ph3uBheHujUZbPSTx7DMkiUPGDEJg3lfpsYyQmwsKvVbmHJOcQWv9lQgrKwadNe+P4uH
1KHkcm3mfjJMolu0rskNpN0X0iHcI3LEBiua9eLX1PMr6Kj6c6v4yGYh6w18NvsyzstiZ9oet7RJ
A6wn6nJLWy+/nVh2V3JkvcsrBUEWnfjnucPC3kesz33HPZhM4/RZTNSdOCDN5h7V9H1p+mQXAU25
qZChi1Uv8q6+jb2IxGT6iO2+tt0AzaOHChgVbnWEFxAh1Qaiuqng0J11GnyvK3NYxzaWiUGGebfy
QpIZVgYn71UNwAQUoEsXG9IRsVHLtDfxDRAVTPpDCqkdHpGRR7ysh3zsHiUZY5Z7mPryjfYgO/YW
o/maGSmDO4nKFwa8HGz/JlMADPHHjOEh6ziaXo2u8u9GNux7R0U8ItnArXdUuvc+tZS2F3Iupnal
Z8f7orn7KeWB5Mu1ZUQBMlpQiucmN8C1RZapLirbDC+aCQe6FmlJm7TRR2AR8Q2A9vyemD2MynTO
g73MIm5cMQ/yuQ7ddttjKD9YCA5fQqZiQCxDhXs6nrRLLoai5kIIGfiMiJkr9nXI8+GgmME9PlM1
sLR/x/8PTwWNGR32vm2Jz7YbcxP404juFwU1s1wPRvnKRWLLrMRpXhplJs/syXG5GoruunXm4ibq
PfHdHIl64DgZOWdSj6jssnw+FWZwpGWUfysKx2fgKLxklUgQAkAH0LbEwk2OHh5KVME4czk/TJuJ
RgkTqohvcZWmMnzs+sm7Yq6Xv0JtSaOLgtkHIT+06u+ixvUf2UeQB4AD2XXTZAORCYI6WlsZBPyj
Ssbxa0YqustiFEePIiv72xH+G3flJI3bJPXbemU7hXpOpyg7OXkd4yyOtEvDVRTzEX1A9urqJjvX
Q3mfM5Elk24uo2NmZZCRMsnDCjCluZkbp4nW7YAwYWW3SVRsJ9L1rmu4Ls8w6IZvkPOaz6Hr9rvS
SAWwlVjEgmM6oxFlpf1t6bHerCD3oTQ1p/ZmUlTnK8cIwRYEU60OgQFmnXlQCUZyjjoyALUzbNIk
bRAvBEX61MAJQu1SOfqcuosx3xid5uTrOj/yzCXpHuF2jZqH5jKdRCm2TqDMZ2R2kbstE1jQG+pD
b99hQDnDkjD3mP8DiGtdCf8kdNM9y3MaoqHvi7WT2cEV7YnmwsJptfHR6WymHl4BSgSfEO16XgNZ
cLeNiTrBhzC19RDZuCurre+srtVYIjxxlRs9+vMgqvRmDNL62AYuZUaRl+o5U7SnV0nctdaaTL/q
UzbZdYmgQ0x4QYg1+7Yoma8jc6g3ju1/YRQpPgayLF5AElU7Ry7ebpZ4xm1Tn1XGehAZKyIQT/OY
kLx3LWY3+Nx7Kj/Usp7itR17uG0mZ3K+EN4u6R5aziPII4gAYeFQAzEeRRtX2eDdw5F/BZoPVC11
JBO7LGr6pVlivUAfsCEMeFCgcAXdeUIDk0hJ73vusIlE29gcOu4ls6X3i0vpVTR2Q7OBMc8iLk6j
T4nQ5ceJWKt255RyvOzaDhMOHUvJpJjeaBE42TFlDGDOXfKpKYNTPFEvyqJfAwraDnjR1iUU1TtX
C/g2AWzTmDSVZEMgqn3j55wNQ1Db+4bRCnQr1btfRDAjTXOrOn4s0eKD+SsGl8Ga4VjUzG1i7gkZ
jxkz2PN2sOfoaOOc388ujYC5dnI8SWZ3ZRly63eq+EYDv6Pd1/nBNz9NaMT0bSk3tInUx9gLoi++
W0W7vjIxRXA10VIyP++upT1mx5hjVotA1AOCldB+wUWSuelrbYq+XKnlj9qQOUuLM1xXUSOf8mjM
H+i4yT2GH/Imrai7UjX4OW5wP7zMmOeuY5MzYjHEID0Lg+xq1XRMeQR0h9KOs08tghe1khH6QUQU
yC0wQNj+tonm+TIzrPpi8F3rik+YgwFOkq/RnGhwqFofiroB8iNwojV57GzsbH6qp3Ho1pZtqZfY
aYJbEEHGN4skmeN/quRSJ3r6TZXMooCV9N8XyesXgrVBHiVAt3Hv8guPr//733/81I8qmXnsBwtx
CUWvbZNK7PELf1TJlu1+cE3qU0pXal7L/UuVbFrwoKmPSVu3raW2/qHvdiigHX4hgsgwdBB4W/+k
Sn6XCUuVvnh1mdWAxTfZeBct+8+Mfo4M8B27bjyVg0MiM4YGjrsOxqJ1hh/qzje86SId+8VCYmb6
WVdu/xHdH2t6K8of3Ziv4//8G7X5UpL/xNBe3o2LGn7xxZu4dv3Fxv+T1twtpzoTsutPdlNapzhj
61t1QQUcDAkxaUb94HbPQV8bWB+LUDdrAhLAShC2FLj0EYPyVWht3vA7JDOOPLc+zp4RWvvJ96Jv
nG2t8TdgAfud6/ntHZOWR5uDVAtkXu8Y924SSK7tpE/OCK2bGc2cf+yxXTs7HUw0HHraDCk2WHha
MwcdRIWZ6ewLGokWeLlKv0p8L9Y6MWp8ezqpcOIU0oS7qzzmZfEiks86KJXAknDZ0et4pAi9JL8N
jWTSGv41S15f7H+6i/+F6v/vlyFwUZJwIXCMY0F4BwnACMNMvaYOJbRYPFYxJ6UVoy9ujbrsxtth
VDRNIiv/9OuX/SsNwYNFH4Cjp2djcy/yx7uGjWeOsVu3cXkqw9k6cWboTsDA1wkMocdfvxKPz1/u
s+WVhGkDQgBagWX+3X1Ws+/gS5bVCfSz+0I8ocr3kcYXs8I1u2Wals8MJ6awWqeONxS/u2nedaYW
6L5NIWO7xGL4rA7vXj4InAQEA/TXoMk8Yq47xvOUNvmeyLSWIRSAGQx8qdwPeYPcpcmq4JvOyUsi
Pcq9Gn14YvSHUkihKSaGj46qbWcjkVh+q42+RkEDwhTfLIr9g+f4aH5+/e1Zf79QCDlYNhwykVye
1cVv/9NjavodrR4vMtChRQz1gPAwLDYyXS62MJKELwaZZF/iUMBtnhuChACEJGvb6oPvOpjnaj3J
OADnkvbfElo0r7jyZXDx6zdJvsT7i+xgZiHeFzQbOmgvcP76LhnlJybzbuc6dckcEeFGCznvRwj7
YqepGgm/aUzUWBMtZtCFwVpZ5b61Vb3PXYSDNCuKM/0dPHxBPsRPA9La49QCaam9pv4IczfcRKTj
rDvEadQZ2gGzFKVteRpqowXKBL8nRoaGR2UGu4+RUhYH2Kz52U7j2xjW7rjKu6A56ah50HZh4Jbr
bb7IZLJZG9xunpERh+lVLr3wOTI790L6oXVFC6kX68GUEHFYW5OjESraIsPEKAKTqbH0/r/Sudf3
TAxx0yAwC3ZR23RHN7Lth0ZaQ7aPAoN6babC+yIcU4FDxImDcBUmd1234IaAMx8tHPCvSV/Ty6yd
IrtHSzIGqx4OzYWKVLee+B4gA9niBvbouIV/0+wsa7T6bQ6uAvjvQPDgumd2vC1aR226WtzICOj0
hgglfWCrsVH9ED6wCnWQf0JGIy9tJWpMuJrCQKSGTThPMb+EDES3uDPSmS4dmmwDQM+LTXX0nTgF
pkKzrc0O1YXdx7tRo8Z2hmHYTnHfhTtVRXKTa6c4lPxVfEauqviioXGvkPOmBow1PIlB5Y2I9nUe
rR1sx8Ve+dk2XqJJkJjTJ05aBXk/5U5CBa8HgTDLCcYrHxhZHhGo0uiCk3+ygHNfsZTa9vzcDsa4
gMiEYimvvtpTwThfwUXsuto84SkgnwDQXTPviWLQEUz7JKlXKSrJe5Mk9iOGXwdxDtcgAu5q0tsC
sxiS8BhF7Ic6z+jH+rh1zLXKtRXd0Najp3zIpmBYenm50Fd+qx3uqAFxdDusO/bCHY3MNLrB5uj4
SFjDmomdxSm42JV5osQyNQXfth0hna6NCNMabKHILN111UakxTFMG2AA5AEKkjbiVEDPNy7mdYjN
F6MqnUDGxlIZOadwDFJYtg10llWchN/xQQUMuszKBgbihl148qAJRxelg+rVS9clXqh5OrR40BRz
t1giZo0YLjY7odoywUfgF9PBbNuiXns2MLE1smHMMoqgTEzOvms/GXUxWxvQktTK/GMaN6BWsWKi
iSqf0MaI4sggVufbjCLyPCMMxFYNls/C1yRRdq0CaUu9j1SPfIfN2LmAkmRnu67mHaCsBT6wDS2I
EzQmp3q4LkLsw5hfS+bokWUhwcCYl2/iyIm7TUCqCmVF0HI+KWeCzL8BrBKM6XkD6PgYPTZHjuru
AfxPRts8yxpnQ3832sxdhM4ImFctyBQdUiarBEHNQM3S2bg0FzGFVUd06AMpgnqLs36ujjKx8Gpl
YjE/LH+PMSMdaW4fCoM1Lm8AkrBPjc8K9tdEeh3PkX2y5jIheCPsafA+TDQbupNfi6nalDCyrr2O
BuAeRVjGDwiAnFgzEuKcnqGqlpIOUpGPu3bwZgYBOtYPLmilF2+MgCuGSKucXQc2ydm2/pzw5kmJ
IFvEQdO4BjO1TWijPefIIBG5xWl/DwJq+FIr6RzQ2MbRFmAG8jUADfweL6/SkUqqt05wbMGUtNqz
HiwNrZTmFim6a00w6Eh/qkiTg8J6ApY7QCd0kxiBeCzNZrk507RpcZS0sr0dJ1eH6CsHro0cSt5Y
1bLoXrKDiUdAXdzd4AMytUEOMFZH3YrIvk0VhP6zHdJXOI5uOnTXetTL4VNO462XGf64rYaCl66q
eWYiahd6BjIfLB9+eesD6xPvC+rByfVKPkXXkIa3kgx+57XIeh6dOo+z5K4k/xUAc8epIOb/saba
upQ3jeXSpMELJE0uNwnT3XVhSNx8idk1IIfJ4nIw6y0tf/6b0p1PxAICcHU5J+sSfoMNdYTUpQSV
pfQy7osp9l+GEu0cXNR0Ojt6NNvLmGNuekkHNEvvQ3aLfVua1qkRcfPsmjY9VZxMiX1RhbHoLiMJ
FW4zqaABlBxMWDFtvtY1GPDpa5Zn3u3YtSAiG5O2yNPgF3F7AL1cfCcicllDEmw+G+qA0NkmJFu0
KPAK8WSYUbErhjrGsu2yzE1qkGcAJ+0lfNvU23i2ssmuyz28qL20xaNKjT7e5nbJYzIbkSOObllZ
zbeCBXm6CC1uqS3UfO6R1APWugPf2m/ZZIbm0lKd7TNmyTXDOglkhaN3k36m/BcPxsQx/WIWWlmv
RGTQYi0sK+gh8Nv8KpgQS7DCQMLQseay4KMA/raboQno63EKAJMyz1iFSATdAkDaYR6WwBTY1i0s
ADxa1XXpj+6VoYF/bmVTFv1lPA21XOMaK+QDJxGkaGThMEoMkrYHFUDDbyWGHk9bCdj3PgcWnnyy
qtlBJYQXN5s+YpYwBL+MMIGtDNDcXRhRPXyRsWn06zxA6nFMSGi6G1sjmveqgy+zTWjtwJe1derc
oq2daez79QL9rnuTWYElQQdAnxgA8DBwZPIQlvTZgRZiUwzbFtPg6Ixq0+fA/fdz2HD3Z+6Iw3VC
aYHiDIFJ8zTAEXhIARCgQlWJeOReLzD5itJigbVrQYJlIX0S0LtnIoqHEKRE1gcfPajgYCfISXKJ
bcgJUm+iVkA3jrmjcRI4XE0Kh2m8ShydVVeBqqVzC+E+94/RWAk+1zga8XWG62nYFC26gxWnsU5f
53nE+1eYSXetDDNJhI5pMrCBoQFu3mdi7EYyuH47lf5Hb/CbTortgKb46QD/N/rZ6dvwX89EO/zc
SPnxQz86KYH1AbSZjafdfZMbBFQlPzopgfgQ+Kbt+hSsIZ4On4LkT72B92GJOvLosgRUWn6Avf1H
J8U1ETAIB/WCgxEa/Kr3Tzop72oi+K+Y49EZOEtPBVbKu0aA1ftNb5pxdaQtiqIoK2PvxlFDfZrz
Idz89NX8i/ocnNvP5evba9H4efP3u9Zbd+jn+qtvqfAwopbHwBnYEyHcnNLOEY+QOsKrpsG/+OvX
e1dJLa+3UAYgERBLJdgA/1pJKSaWAZpzXq+A2b4aMChHeNgo0vXoOshaI9/ZOmNoPQx4oR5+/eLv
mhHLi9Ma8OmZcPVCNCh/ffHGMBHfE+J7nJXWr0Ve4DnJoeNeQf0Yz2M0CzY283cf+V98xR7fFgU6
hzLCxRcqwk8lrm51qoYwKI6qsMZbuGT6FTwky6RI1Hgbm9AAfv0x//aCQE5Mk5fj7jU5Jy7//6cX
5KA61uhpxUEaUXUZcDLfTFILaKyO8Zksbv/516/3Pp3Rha0KEjCEJsjhWNjhuyYPo0hzjqORHK1q
hGTQ+REHJuBnNJ/CwaVgBa9mQcAFNkNspXVucI8/UkMFw1pS95RL0E5w1hNsHsaFXgddAeralYX8
4dNkh7+5C7zgb/dB4MGi4Nl3uZo87O/ebwnyKk4L3R2o9GP3wShsL7ps49wkPrxqEEI2+GcvyBia
IOC9nRB5BqezAZr3QCCf718kbegcC7w5dMtbhUvSz7mX2siuLokcsk6EohVQqkybPe7ttFnYsJ3I
jfAoKzp0rJTyKuHMOdlzuKu90TqhLDQUs3uzuqxJMzlb2h9vIwplnLK097wvISzlaeMja+s50zYc
rCgSxlufVcLfEIGZicVKYTyluRRkhSpbcctFacOwO2jpwy0CfGlZ37hLl+G2lSTpeM0go3fvxnIa
rkpTUgr5Hr2HXrgup+llIaAhwHPK2Gi8NQY93oqswdgwRk393KV2/Twr0zn6GFY5A/Z9/czIqb+l
tkLIgnmd5WsET79NLeW9kNcznulNcVAv+qjG0qDHs9EY1oOnu3BD/cChX7BNH8tJjMiSNWccZhhk
r7WRN547V/FJ6wzgY5HjQV5zoIkebUIKaAiEg/eSd3yP4dzzvSnXeugEF41DhHgcmtl78TlXn5O4
FdvGGTwQTFXC0V2MnHwBDETj+Y97VaYxZ13pJBzLk2xsX/O0oknsenxYe0K6uW+HnirAIKkMf0IQ
JcWRXOgGrbMPe+XNui2fZD+IR/SQ9GZ1hkVuW0wM3rEx++5L1Yb1s4yBnMdNIa4EshLOMMQ9rFxO
Qym88dpYu8QlXSrIxznn9GqEdkCduOl9QofXPN0gOlBuFNhhl2N93y29a4H1i2iDlFPeUC+fdXAF
CXVxpQ5v3787amSvXehikw5gmYeGbNdNybDt7e/ARC/XxWSmrBuzPBh81jsZ6H4zxELsON5xA8vl
8fB1NtQHYs+i6BIWulmv+3YgArIZQ3GmGWwpPPEQY2F651heT7phVu0xjMzs8R6pg4khJKrGqN9R
VE8YtA1+gKaBBRjG0gGYo5g4FYlkTSfGHn1ROmya2JiiM8RmL0ch5jEALCWtjiubtOhneovDa0+u
EkyTtJ2T22Ey7OGp5euXlBxlTy9Ogp2YTQxNRgg5qzLJbja83uN7bh8wL8rtmEx4Q0ox7Uj7XjfI
LY6D0+A2CFPn5KGigPEwHCKUIZc6RkztF121ljUuTwyOE4UYpTe0EesTFupmU8uJTE469jeGLzVE
q4bGpkZv8FkTze5yf7WDA5MtGS/7wOgPbljFCJJw7JI/gzwXTmf8yonaOvmY6y/KRPqn2iwFQ4zZ
na7wZRZc8NEAvj8TDrUv61m/igSQKOrcLk423NzigkHuiEzc7Vuxoo8dPTpli27cMtyPWsbGOlHN
S2mRewXeyXMPzeCwZFuBw00HIIBbasq89lVa/AfemW48s81xL9tRKZODb0Ts0rNK9rQy62fP0uIR
bQIknSAOCwSSfT+e51GC/yR35FS7Vv08tQutuc+Gl5Gi7zH1fBbMys4eUnI2nlI182CJyXOOkQla
OgkcBy+XwEUnREQcxxBWDz7c9TlJy03Lx4h3llOE3gU9I1M8zW1tfS6UYSCFhD4cHpFHzFi3rLod
d46yVHbh247zZY57z9+SP3Lx/7PBVJvKI33mh0BKLPv/PB+sBkh2b/v40DZJPxw9pzP6jTM01prn
8v8FhZV2eTMSANTtSEF/fJ8Y5k42khwDx+2PxDBE1u4XYtX4+zU7lvroSWHTaA0HRCYNvehqN4dV
AgshzjqX4IDMuCryBKJXUKA2m0mF/TQFYXVI3DK8CaSDPpynah9Ytcoo66P2GWkQZ5FaL6ZNmjvr
zOq5rA3egm2St0AtyOWK1UmF7XSkdAuRD05sC9ijwYmjbnk181RceZHH8pb5MzfNMgQ8t9T+G+LI
l1upi5mjx7KyTo4tWEsbHxLAKhX8nt7m3UBzEVftwKVZ5xDUkLh0Ke8pCKdhlQD1o7WSldyCoxOL
Kz+vcRLENuOOXPXqMDG0KuDRxG27B1gQXpEwh7GGaFW6rGwmSD5gDt1CZedZokzP9wFKnUOleGEn
mt2XeUpZ8N+WQFhoFLuk2S+3/mDm8nbhHECYrwf3CmCRSdfHoyZV2mhfS5SVaNEdxc5vz433EuTs
jy3iBKpDL8GkNzUVPYmcfEpODBN1zf6Pt2WVqDf2jUw5SUSGwfYVEMh52eRKHfqJsZjuOfsW4F+Q
yea0HWykXHgquqlwx2vLR22wNpWonge7qeWN7fW8axhufFZ8k7xkqZIpODOryFt2C18TarDKZdwg
p8W00QcB1hjXv+gyIgTXBCJN95FRec++tFhYQROmV0OtwJb864w4lyYB7RXkB/c51JULrIbGd60a
sZfdQHOZ98wp561hZo/Y2DDiLubQRmjrgWwEtqdYjTR8FSFoQAPHZPlG4fSTOOpNbOsd2kM2TMVS
dR8tVzRNibCcu2Jp+7VcRsNqqBoQdZgk3XktM9xtHnqR+WgBWIRRxVYZDPdA543uvvdHFNTrBN+C
DM95FgqfraomJQ6rf9xMtIOzxIgtMtE4Lcf7kYwKPBYcN3ITOWJCNmO2Blma4Dailzb4JLSR+cMZ
JLCleZERngFNVffMXeW05Z9mM7qeuMjTub7m8jdn5KfymMFn+DQaIrkwiEKjpy3ZeqawOMS0rEjO
C4xd3g0enwMQQWkSdcJQ9dIFZL8mY/oOfEyycVTc7SwzZqQDW2elxrE5wrzGraNz61wSm4ufikUC
mz5eImRe2P39IvtuJK4HkKaKDrjyaFTopif0DPDQmlXhO7KS70Y+3YjRHY7c1xwMOgisQtcmrAwU
Or1ZYMCfisPY4YHkbBzdY76cdimb6CZtJElTrnvjmrRVcDGVd1xt9uVyzC/Y+XCGYGvD6YjsNyx8
hHP5dcfUH32YnG7MqY4/1obfPavKdk4QUpeJS2xygBybfS7ykvkKcDDrzMmPDBFiMb57fuRdLNLf
JCGzRKQEh5VEfUThwUjnb17jc0FcsFkMFDyH+UXRmdAiOBHg+TfYgdvV1PXLCiLpf5PV2rEaMui5
7BrbOBI82NTXbYb5c1VIVpvEV9yRcx9x7ZHs0PGdEMoma3gavyvFl6rjJ8UCQd/UUYHj0ViwaEG8
L/thZ6aCHa8+1N7bob8faTCp5eD763Ltb9UPL2TRqLA8yn6Xwu2v5SGpurpLK10f8tJnMYaZZz00
qPdIWBit6hIcGKXL23L469f9W+m/fEATM4dPZUqIwruqi5I8dxCi1rhYc/9FG4U6FO1I438IJOtX
VZTT2fcla3HTL6fcX7/6Mkh+9+2irKAq5gHnTbyPbZiA4OQDYX6HAdUu6JZQ2Q/hsuoipma111CA
FjCWoixZTt62G7K4v72F/3TsftOxg9dAi+vfa5/+D+T3qnz5uV/3x4/8KXwyxQcTeZODSYgJqesx
fv9T+IQmikaObzIF/mH0+bNd5wQfaIKY3h/SJjRTvIc/hU/WB4fAeBK1/rAchf+kW2e/zwQgRYTH
1lqwmqbF23v/QBVNANQh84crK6kJhWe/GzRS0BXtqMpk+tGHNgztJtBzt4dAmRfmE+URESgZI5z2
AWyHntWKwYVpb3OVqnpI1/gomjq8B/NEyxsqV1omFlOdAcDNziUGARsGpQpwxmHAZoMH0C76I4Fr
RcsCN+uu1PV1mU8ck6GfhLT6w7rkkJaOF5VR9OYRL/F0jWI/Qmvf1GS5+5+oJfo95O6A2MERo4OX
Al4uOIYX6dhBoAYA/yB9NMTg/7thmeMtQ69QweSmUKLwyNVMk8HPKT1n8vJezNoG4VPqtr9OyPqB
LC/1sHR4lhmBYJnP9+XY5/uxV3mIyrNKjkx1muAkhO7TdTuZyZ6YbSQsfj1pUEIZADsjN3JgP252
qCM17NIZrjHbS8kvJoELazmthZ4jUQRSYZis8+BL6r9Kw/iRbduzWZKxOq7beJpBuxUKv2TTf9LK
nR6juQr8tYob/IGUJ+OS7+bxQcnm6+xPETbGq8GzcopJEhpcK+u3flzD5m4thYehspas92DYMnZm
6UgyeEY0woJH7Fbjlf026U/epv7yTQHQL2IAw1l0AXBytvabVsBZZAOA11EQ9G8y4jddgfemMQjf
9AaIN7xVjerg0CxyBGzLKBPsRaQwLHIF8mdQLkxvKgb1pmiwFnEDXQrzZfZINsg8nsZdFiV4eNAu
vRSLanAnVIFMgsX53iqREKN5zT9Vi5wiMnvwZ7UR60PeM/rZ2Cq4KYqJjssixkD4FDRr0nrQaJhv
eo04zoEJgSZjZqTEzegh7IC1uEwSEXvQmUL3ASwyuwd6v8h4ZZe/mozOj+DC7KNeZCM+YtvPPA1o
ScrUEl+iokdhQpHZZ/tYN/ZDRIVzHAgR2JEQii5F4Gm5D93+q7mIVvpFvhK9KVl4ApJjFSA5wem+
aF3iRfZS+Ll7kS1SmBDF2p6zmB8Bip8tC4g6Iof2TUHToqXx3FydmtCcvwDgjjaMwKdHmIXFIXrT
4RiGiSYHXpIDzgShzlSN5anxUjpo+k3JY/f4AEHQhxtLRtVHP4bANBiCBhcm6yfdLFnvcLLzc7bI
hNoZgD6k2b2uQu7DIHIxibiZeefJBonMm9qoKrE8sLLgJINJSixj5+n6hlGY2GFqz78xA5uOjWgr
EGvksPbUaqsy0l9T9AFIBYZh7SG2P0CXEaS22i+ga57giXiYxWIxbtCAByrbNA4KxJzxfyPrzr8d
mPAxcV5lHuc+9Z9d8Q8B7+92RdNkH/vFrpi/fHkp/rorvv3Ij10xZOcDLsbmx9jGYqrCOe7HrhiG
H1z2Q2cRB/oWf3IU+xP3zBDL5JgpQjS6jB4XK+ufu6L5wUZHKCiSQX0gm/xHcuD3p9ml1GaKZaFO
dGzTeZ9HlVpYolrHNQ7CAEq/StJpPnTCbR9++k5u/zjA/Rd0mVti2nSLIvrdsW55mYCBG5MVRm/2
+zye2WoBjs69cWhnOr4Z4X0bpzPDmwJTXfHHnfpvNcXv5yq8luDgjLbZITbp7Rjy81yFa5G2onei
w2RV4sb0VX9NPphzAUSa/gJ9OvmbF3TeyyPftIbIqj2TYZXlBOY7eScQB6+xAhUdkkmB04+aSl9V
9FOqFds4uOhQ0GZGEu7YO4JsevKa8zyd9j5J0MDevbhb04WjVoXhSKwepoaDIB6IxVQoKIRjogig
bwULdCz2b628gvoWqPxYYuqzirs8y8U+N5T+yDiivBC9qncGw+5TNOnkhOnfKzcO3Z09srLiSHN9
2ja6Le5sw52/CZo4j5IK+TGo42uzm5LtEOQoiercPMw4Jq6ZMvjhWtJ/ubPbrvg+O3N1Q8cu/Wib
CWBUKrSd18iSiEdcIl1VDgezwp7azI29D3vgi6qZhq0lR8x32mkvA0tXJ1WHLMBopF4IxDEOub+E
jCtjODQTaXZUOSICkm3Y1dc2LIorfy7GO5AIsluh40HFpkIXjqkNeiEzxJBtRomLF/3IRJxR+8yA
wpvaK1nW5HyUAcqoIeI+X5uywvxhOkX5pVNB/Zx2cfiUYlY+C3LrQEeZrXhNw7bG4iFwF1O8QrBc
ETQ87lQPsxiGlSO/ZJJWxjop3fzGzAmkZgASo0Xohg6wbDk8htOcr5fte0NUOfdeCuRj5Sapd5M4
1lmOiQkWDQGObIS/ZTCnngtYEbtqNDU9AET4qxHuzqsqCrmXpfw6LZTw2Am9y5jhBf2s2ZOoafhy
ZBnl12xR8xPiWOPOQeB1Zc4Rh8kW1CKZ671pkDWTQnA24LO72HJAUZruoR/KdutMSXZlpnH3GnOA
/ZJZS6DJHOPIxcebEFnEd7qRkf+10fl6sAZ1KvOlxRdwHHBGAByZe4k9F/h6Fn8ULamQTVTnewNq
DLqcghPcCNensl1zDXAP51atL1MsrWRB63ha+2aYvngh+PTZCBh6dqiaKx+uHVi5czTk9pVPLe+N
yMZWlK0utzZPD/7n/toBPsTAqv82FnRlPGXo68wu5y96rCZ25dr7Uo9ZdoMmzt5ks9bnxoOEVerw
TJJMsu28+ZPRKefEtM3eElDUniCK4D8S/nDPob0D+y16eItkZMFxpNle2YckC4fepQolzecrFNAM
aQm6YuSl3f9l70yW28bSbvtEcOCgOQCGlz0pkhLVyxOELFtoDvoeePq7IKezbFf9WZXznFRUOkRR
BNF8zd5rA8dmTOEWZBlNddytVJAqbLJGOzLATUo5Hd0+GYd94ulQSJZhUOr6gqliMD2qusc8iH6s
rXsYL2RrrNqxq+N7q4pdhkbw9Aa36+8dUmTWnoC3urIJIoek5auIAT4y0IXXEFq2ZawoHeZXVuBu
WOEa5K+7kFpWUaKNLoBZ1FdYntJGbgLVT8Ftp2x+0iyiLjjLEhLuIk+rrL8JyG93TerXsg6vPF/r
ctKj/d5+MYpwtrHrmY8bq68Gz3iMaTLsTTmgx/7qzCuERQiOXDsohkZtdadSxDfEiXq1etHsQt15
5OtsK51VCW/m2LtOx7PtwM3H+m4a8G77VpoHe8DBBaqso2GwtdDb2mg3D73hl+ybB3tH7QfsYAC6
P4Lf9MS9gSwtxgw+/7PjS/9uHNv+TRqgChcZTtONRUzOPk9Y+S5abCeQDBNrX9R6diDi01s3wLDZ
q5WkB7B76hnzWhaSOqdzxEbIOqdtikgfL7yGeBYd/KE2hkR0+L73eaj4fyWNwd1U6z440kxridTt
+vQymFbxzZKWy6TNjyjrDYu9MclQ06qVQRKuq7HP9+gPvevEjuRrkhLguzCTTiDgdtILGJ3ZmOOm
/G0allSiErQmfUd2lTyaOnPsRMVyWrlTmt8Facg4jJUuXeCQK+anIXScf2Yj/4svDNnzX4qZ/l+l
iPT5Nfbj+2t+lIHeJ0oRqeNNQLT0EdLxowz0rE9SQECROCs+/GLUaD/KQPnBTjEwXFCfWbNg6c8y
0ETmJFAxuXNZ9ZEV8jdSP2zX+LVCE4LfppvzgEagp0L+8+u4sYxKg+amxbefuO6ytbXuXGUNLkw/
HA7IDhEzwuQal3nfj1/tvHaOtrJKBgtC9Ld53oIrY8L/ilBcPynb8s44ucx7iVEiYC4gMwgrlnPG
NVvfjvBp70lKTLaKEe8+DaT4nBe+u05ih8AIQwLArssv3AHj3YDXAatFjANpUbfF9KYXioWoH0Ce
9kEd31U1IdMkI0NTdsxk25rMrAmtPhE0FC1R0rP9ihmUCnbf+yxK2UGlmsRMqQXOgUQ9cnz8ZLgG
jZqg0HS941gHHatRORiXQWu9sxMp/STGSD9h3dXYr+ZmuTEc5gsiN4LnWXR9Rod5Ixi2n3xD3E86
cmohfQYdpUU4oF4W5jsmmdmXMVLQiC4zlnAQmhtvFBiWYxTTJpDQmuwFNoJ2ohdfeyY1bEJxsJYR
KyiY8OqhtGKUuEOCTxriRLzzMKasSLJLV7ozCgTRRvuUg2EgazrsLw17mjfAkeNzVrUsJpQ77swx
rqAax8PFlhwcHZzdpoRTc6UPkvRIsx1WXRY4m6LDfesIxccIoKRbKkt2XfZhS7Lar5pn4p21x6Xp
FVdGFmAy0YZ1G8F9VWSQYbz2T6kqUlwq2p5YcLUilZnipKvKbYmk6D0gnX1Rx0101Uir30rdw/Cb
humNmJyJGYcWqwPZjz487ylurwprjB+DMfJenFKmayZixcEveEgXXV/ee74VnSZd6ieec0O34Ike
PWGvr4/AFZI7K7eKbYrxEE5xmes7e0icmH2ZaV4mQsFOQWBNm9Fx0L5Ssji3SG8F44wG+URUm91R
9pF+A3LeOeRBI/1lPFnJWzsMxdmXMtmNQ2tezQb4bVrI6KV1neiZVZ84wwO1LykRYLsBsfgZKa55
ZfQ20PE2D65Z9NX38WR6gGTrZJ9qmO3hBULxz2z3zLLQeMk8IU9lYCHeFUmxg3gHFRdMfbLprdC+
Tor+ygh7i9OxrHYaTLc2DJrXsHVRaoyDEmuj8J1XFDSsWoZ0H4wFq+oxtfc5OVab72IzJzMeTUu9
jb1ZBKRNWcaL42b3eWdOj3VdjNtJz/RLjpAqI5mbcCpbq+cdP3LBc9ixt1j2mixfER7HNwSiQVSy
TNN7I+s53GYdLwqmKHnAk8XeF/HIGqlCehUHfIm9aTJEbBPMEVaS3jlm3XwxXdqWRaPEfZNnOLV7
eSBNcJtBS11S1ZAFEiWxusBDTm5tP9lJ6AAH6U/Z3lIpcdVFi6SNmyWOVY/8GpT2GxgX5cqpqU59
2Le3POytb9NQsrtShFZOJHMt4sJWzw5SvAcng8pTGGm+5At1SEIJAaiUUhQ3WsXyI5HAGWkA4iUq
G7uJ061f9/qJcHFWxMkFMEn3rPmg95Q0xSXWA3OXCRcxdNJD0GUtXr2ZCE0WlN6rXh8cINE9BoZE
tBojONN9bhx2WotCnwhf7HGSrrNpDK6Jv1FbkgMxbYyjjWOtG+Qctd0TY+KPYO+mmkFy3iLM8rzu
IZhGuvhEeQX1SlBym6tRHXhFpV8xAy1OY+brayG059gAOTKz35DhJx6VlCyp0KtMLhMteqLM1feJ
XutrpovlAu1W/iWR4QSxPvQudkqwbl3bA/jFQGsu0Zxr6DjQmZmCv8rYGbYxA3+2g3NES5Ga+rlz
c33p+umEBMJN5Do1c++RzDb9PFlh+EQrFx2JAvnswSXY8RCdliOpnec6sNDMdH18rGOSFMB8e8cU
fdlNQ9TgKdb78lHzo+TMhLhYY3lCZ+LlUGAxrq7tujSfFP6MHXB1cw2pPd+EQ2x8g67YnnpoBa8W
uF8eLkh1nkPkGA8NhsVkQVnvbczYC7akKZLKMQbo/IUf3ghB/dWzRSH8qByIpOXQZ9ChVuPYFOt6
MNwrl1EBUMckD69Nh3RfUzGW9TTLhimht9OWoIF2S3Rus1feVDwkrb+NRBGv1eiT59CZ1rroUGoR
r6BP8bLV8FfawbCRZd6dRRcYB08E6jO5XCB86MkXneBxG3GJXyFqLHbMmAZij8rKe1FSRqs06/Xn
xGcwwZ0JJHJjrEZD2jdTG2tvheUgCmhcbZMi7LwWUZbsbUvzN7Sy9SWB9/gQ9K7PKrvU78Iu0nk7
xwcmPGqk8TA2Pldj+SWrp/ENVAS3/7ZqpnoBCZ71PDLlFfoDc2HU2pUN9a9rFsgdcJG3eW+nuJWy
VmczrCL9Ms+QefbHcXDf2hQiKBrLhFAM02suZVAmuzzkkgYJ5pAkMdVVj1LSd8t3ryrUvktCrMpD
r5EqCBMFEMlNh01t19jti13ZzBHA5ocg/vv2i2rkix2Fr7rfvjvJ9OLmwy0YVsr4qS94vxIlZuaM
a8QP90YZFAdMqs59VyjjUcV99jZLMp8qnxciENQ41aORbcehwMOjt4eirMuu2bJXKSd5otTKAtA4
xBohTzDyxlrLPAqPA/S8VdvD1r4pm3KUJE347y2yE5fJfc8XR19hML1hWrb0c52cLKqebRoW+Skq
Si1/KbiBUnt53UoMvtqUagyIA5zVKXUfGyuKPIBomE0PkEqdF3Kwy8+64wfxjT+EyZUT2qK6b8Mp
9LcJ6cv0FUPdT+h8gsaOv7qY07UHu/QBuouw8zMGWJHK9+Uc2JN9RPd4ebbpZP1EG9ojbgiSlc4G
iJ7YehqQ8+1kVDgkOjXtmZ8cNl7iUE4m4SGqrGOLKpkBCiIWgqp4ymgOI0FqkYdsIo44RO2PZICc
oVCLgiMzBnJEMjGe2WiU54pvE0wWI6Mw6l9R542HyiOboba0diuygSSUdi63zAl5smcT7RlFe+Vv
lCPHFaqKZucmxFoqKDbbmsHqcvQt4ocw2celFuwnK2gItvB9MhqM6ACN+yhFkuBrEsWRAUhDSIhT
fm5NmSxdfIjkm3cRxHN0qvhbWbFESQ7z3ioIPAgVDzJMMEubr3nXsmBjzmWkW2Li9HdiiSmjCWsm
bI19nym+SjeT7lOtt5lTv7XWbBF/gDxExYHoJ4nS5J9R/v80yjdMVsk/za3/oyVl95oWdRhV337e
c//xyh++FJ2G7Y9h/ryu/uFJgdNhw4D+gemYJ/3/8qSYOvNh78dmnGbyhyfF+CQZjVCYsAegLWPb
8Df6uLlL+0U+4TBlR+MPZxNYiC5/s05YaKeDOXdxpzIbouTExsyQweNPB+V/GOZjjoARDeQCZQ7I
Em9uJX8yLjTkixYeHNxdqww6EqcGy8WchHPaatZ//Vb/JgfhrSwOyxyn5yAt+O2t8tQfSoTelNFd
1FAARurKMEwio/ICqVwQAckRlbYlgs/iWqJo+uu3/7fDCeeCYE2PpljYjP3nVcNPn9RIJtfGwlfu
4qxHAOA8uVG9+uu3+H1bgcgHSgzgDTwgeDN+lxNVlTa2ui/KnS36+8E2H8k3IXnCEA5JtCVn6Z+r
qf/wzRFA8PsJggwD2huOKXgyTBV+21SYAUSzwasxKNJiHgKVimKZe1p6ULafHpLOerD8viTemh2o
viAbmzC1MvEQPqSKpnVV5yipHYPZKEEKrtq3vQNrsss74uBIC2PjUdcw5hZGKQr0/6G3qGLPAOiU
ml+MGIh3VzfvGXxTjHiNbjyOtYfeC/T/zJ3PzDMrVG9lhspctfo4PI6xXyHuCpiL4kiqwpVVeina
4iR4QjpJcEBamRc/yO1rmxiMW2kTSdRZFRLtoAnObZcJxp2ev8rdliRD3Z41+NO0BylwogTqNmaa
vltOcptH1puc3AsxM4gzLTc9FPoAsJSdjJfGcq3Z/M7UjCc0iRPRBjM8vyLD3a7j/lsVeuXeicPr
YpTaKvJyZAdG2q77vJfnYTAVFaD0D0ZgPgJhIJ0jjJo5Ngv1Qdd9M8n9vh+yOlqNIo7Pk1cG9zTG
ybJ1cdV6XbBycqSIQ+93O/opfx1Dwjtltb1sQ5+cJ9S3V3ago03omYGPBMqPgbdv3LgdNhEc+fvS
QQMX4rRbkr/jHAuCRPWrrIBySnZlVckHC/nyU6i66hoLLb+HZETjPkc4ccXMs93hXcJyXFVNyrdq
k0qakjuQo0RfG1mpcO16nCIp3GgyY8cldRLA7bE1Nh0jgUcrZ6uOR5k0RSzE7QvRluUsQhjFkYDm
4B4p/AQcLhcLX5KkFOJBUMSAC28/aegTfT+sLsWUVTfoTI+o+s2XcnJxnrem2pVaKE5iMOUuzTgX
qLqiDc7/YZul5gvPYHskWLkNNkxYhp1VR95Fl0G81cyiOtG45DdtMq5YaI0npGQFPhUWXpuqj8uX
XLJYJ8kMPqEYbMbVntVeRX6P1GQK5Q0e/43vm6h1/cYRC2ryz3Grwj0vexq64GClPvLSor8Uo3qI
aUsWGoA1JJZZd9VgyAVRiPyna4P+QssotoYZ6TuhFwwU0oYJHCyPq5FEIDwGgZ1fwytxgdoiQXUX
bPj1i+mX42ut0VIlXDTHjiQyzA7S2EKiDVcy0Vj3xSnSXbBxzqrUS94tUCYKHba8JtuYwd/4WB8O
TNf8FxcTPDx0VouB7/dXA4X40snbfikBtm8xjuDfVVTs7HCopv0W7Q7l54JCqD/QaYnjwERg48cS
cFAO052aHj2oExJPaT55YhrXAYim2wgy3s7ozM/sSY+amwR3KteZfzkcaTOaDgxF8G6QVLSYLK1Z
wUtD4OCKEPJrfNLqsrjEJfPsrJy+RoFLRlWoq3Hh+kG3hzDSkmOqX4aRtNQhDxBc4W/IPZJlJ8Wv
DXxZPlRCc0g/rXuNrKAqx4Ocm691lxDuGRYs4YZNWQTmPaYVb4k+A/9h5nT1TasV5iv3bXcfpb25
1QWJBQMe9DXEKb4h2yqms5+oxliYfjE+5MJNjtyQpr0YPKQZho1oFhO3gY8HVbcPJrbwjRWDlCOk
0m3IAwCblU57FASopZNUZOc6dfdJZzwowFALwxfZMnCrg0XAB9kXmr/yleaeAl998yHRLYm5WTut
Yb22ulV8wQ3WXRdWTTKXjYx6xS1BXkdjPBxZYCcot4yKmMxIrfJ+6p/zoScRJ5o92mhkxnGZSC4g
wpeH+B0aS/Ik+lK/953JujCMkyszIdtPYIKqF2Qhmujsw2bNirHmOpHDVxRH2rUqofnWdbZUlRM/
2iHZZ6MXkYhYVgnsOmuwljGCwFlDzbx2cqxjgourxD9F6m5au9qOuYlclqXz5pAl3yw6dLYrBpXx
3o1d5z5hr7nN7IhYJ8Ma2dCMEeGxLAMZsoc70pjzqxwN9M5ubPtaRkJhlAqCz669ToNo3AKY5fB3
4fAguHOtDGyoGw5Scm+6gViy4mckrAHPvbNKuZZ9mj41JFt9HjoZnmUlp6c6M1e5ikiCjYuqOrei
aDYKpNOmGZ14B/K4WrDL1lY8PN9Jm2FFWFZqIwO/3vN87KH1mtwzygEV21Uj0tFIAJfV7fe64h8V
63/R6zhyFnb+WRT9W40PISmvXr/mP5f331/zp4zVQMbKtJEeEVSX4VIi/VHhi1nhymoEuQhF4Yy5
/1eFL1jHGFjLpfCE9auMFcq9J7i+Jesdinzd+1sV/u8oMezwSGnoJFzejkSE30r8mZ5Mvg1cGBRp
Zewx8aLwbZ8rzKBZdYh1UJwlWRuuG8ZbZp+s+48m5I1+TSFk2U6zgMBuFTykPN9V5inTaH7kyCmP
bDDGbMEzv94S3Eq495ZsJzuKjnbQd8xQ4JHGPtEQ4B4860G3mb+TUhy0aTuER0HIIQhqbnEOcHgG
lEuto7FND6ZjoRWHqJlEI3HOfqe/EPvgN8tcNlUx3oFaRc2zdq2gdy7MH9rQu46iBp2kB/4B5LCh
pUvINDMMuq0mbUThweJ7yZMRmtE/rfH/1BrTZnEe/dVVk2Xf3prorW1+uXA+XvajLRafaGN1Uh4M
EyUTfc2fF45jfnK4XNDF/cFy+AnXwNVGi2Ugi/2xx/yzNdY/sd2Utos5/kM3/veUbh9+8V+bY4ZH
CN3QaOGEBwb4azcHQ4otLPm8uzzDnGOEESOnKSMztGmeR6m+uDqbvyKfmjXMQ5LrYlkvCAlX4GRU
sdQb997tXHXQkkadBnCtnYtBxtEkGxucsYmuMZeMUa+OrYVelNE8EvBUxxNb8IzF37wpcNUtPdl6
S0iMl4JLYYXgOlvElkucYOngqEVqsGCe1C1jNAtLndHrKlb1c5d4zEYjitwiN2bz9xepFfoqSflx
JRgVogev9kVXPQsMEcvJ7sxFPNnaOvWdR+w4tzxzvpAlNxvHi+ckB3IaNGhwcgeqljQu5DpQomR8
HlkMzVqvymcp4jknCgVUr83G36A2WFeRcQoofF9V7j7ImgZgF4eGBzQ1XmricVXvhtKIEZIcytyt
6pVe8kuTjkNgoRDiI3AYqKXSqK5XcLdo13T+hq6wWIP4cLfbEABybCFgI4s4WUkwwstOWRe4wwQX
8UrQ0+4i8qjvJtx2i2DkEBSJCQC6EdMlyJOLR+jFOql5S/hd9pVtlfz5vWms25I/yCykWgFCeFA1
Jjgy8tic5Nn7mJVAi8yK/GB/ZLoODhrnbhK8+QnRD03l3Xs6azayCQgHo4VC3A6cDqqUS3YnSGba
3Pred32FVI9FIfEV06aY9GnXuxw9k6p/1dvO3hXa/cdJEpUjjZFV1qvC4TwAn3VJO5euUvfuYeEQ
QIjDc5nq9qWL+KOCWFl7lmjc72Mo2LiQh4PjNQaK5vksavhZhl/nqBZUzXltrJ0ujJfSl0DkQBct
sBwU1O32mfP5ffAUg3msF4ukj74gD+W7n/ivGBcTKwUtW/WNW1NZ5bwm5SjVAjiF4RTTSS9rb1nV
1fPH951Swi46NkZLXHckG4acMs6cCZ+XPC9a6SYHXQTvXOSc1TwNoFBxdgLZMCnOeRVDhvEhCflP
6cZfTMEfwpXHnqFQ0bnlcKHUvx/htq37kuvEcXr/0COGOYVs65aeUz87mDuX0uEbdltOJhgL54+D
gdEal7nGjxYq/ZIitFz7IKoOhD/Ya7yCBa1T7R9G9qy3aR0XSwM7x6JHpbo0m6LYTClx9hUdyiqt
LA4pBfq6D8L6yq21YUuvJY7w2CNkP5OxVg4XJVvUY9Qz+mBbz1mG3AcKW6ZOrsGFSu6ZvnI7htyM
65O1znWCbDC6dCHBC/PlxWhh2umiNXDp4bJo8TUscvxfCz3l67ZCTx1wwmXbgfE+eTHzZUhmPBxE
vlst5eNrfnaU4BG4hXAKZEXpLbHVkZ87n+WTo6ZNXlTelo2aWsNx8zbYHxJyOjmdP06A+QznEr9E
1pRtzZHbmNdxfVuTN+0+vuampVVoKk4jZBfNHC/svxYzFNsO+aiTxntlpNJjvTe5e9nRF3YafAVC
vbMaNtkac/XoGldzajbe0sgYhOhVmx1hBA5nmwRLt4+/aFToCxJ/syMp7mrN7iCCYqhru8DmOs2x
RhxHIHgbR3KS0eZnR632ePeM2xchk2h0uDkAuYMBZW29kIBkVrv8MtETWVebcg74NlfwGetFCXtl
38vancF97orcMx3Vqm2uNeaKS4ISubn1fHWao7yt3xqXkJnodhLZuC0abiaF1ZEviPJ+6Xf8CX0r
uIqcIt9RsfA/uOi+35sMb6A1mS9aEIsda3aNqOomvGGipBMSaV2McZYC+yRG26yueewQATCWQ4FT
IOL7Y9LCWETPoMBaA7x19U4Zx6EZuQI+jjVzWrXCRRretILv1coY4cCQqFeaa3MLnHePTqL5Nwab
rpXMabpcv3wvHf4ZA/eaix6nb8T9xNKSaCOq6s3VNXudacxp8tJ5THNgZUoLAYu0ZweLzsJEfnsY
owHBnUZkAVlo2GPWhuqR7GUDPlFyOKfPyk7ICYPwYxH/Q5aitpimKmYKmBMEUMQe8lnduLcDlaxq
ty/i0xjU7SHqGWktTB1S5MIPCFJm3oVDgrih5iYMLIm8mj4WlUpVD7iPRtWQoYFOul6zSS7EUkJE
PxR++6o1ef4VIfibFek5kWLmoN7d0tQmjF8kXNZLLox+12RMAmDMDV6xqLTSXBYxZuU0tjoN66mB
AVe4/snr8wnnL1FE9RkqsuvgDKHF3jXj1GjPY2ARbI6uOzn6oWcSpgg8hQZ2VGV0tmGBMAFB/qfd
Zoz0DqEj738qxf7DVHeu+H+ra6AIuaaUDhN/7/chOcHNxmQhN9850Thuqyl8jxQPFzNz79sqNzmt
uOosWDh/d3Tt4E2waMYZPOmOqf9WT0EmNkb8x+1O9B83O65BM1Jfs14j4b1Q73/9KVms/PunBEKM
TE54mPl+ezdSw8lynLJ2l4ycIHMl4JFWsg7QpPzTOv9PTYCB7OsvvS4334iEpHh6/Y1//8cLf/QB
6BnZ4wrIbN+Fif9qoF39k01/LDxDkqbFRoUW4ceKzPjEP3EiIXQU7LBmbP4fKzIT2JuwDekIzBUY
kgFX/Y0V2feVyq/XC+7PuRFHcCkg4Vu/9gFJatZTWugjXKlMjat2jpLFkdGjBZ8BgmvPiIVJ4cNY
bNM3svQQMVTVHvYL4YdQxPF9hlT7HjP8JrFXIYYU1tAKBGzlvRUkVF/3Uo5X6Sj0lRUBO1pMwE/E
gnSIGsU6gWeTTIyCWCjYKGuH3NpmgUtPUHDE8Ko1YeSPVT1WhxHb/llgDod1MU0PvqGZEI4SB9mw
R7DsOszT8i5QUBp2eumhWRMwQV9Bz6KVUXCxqMOYlvT4pT2FwX7AGhdmu8iZom+aEMFbP2nRCbKy
82yPedyuPIAJR5QwaJgpxQADQW6vE7xrgbHOtd6+AciVXHWmF18TTN6cOhxnW+HHE+GOvkV0VNMN
a1ivipE7iNfZUhcsBxIroGhRASYftaRX4EToEtt8cCsOM0NZcBe4FPVDRvDkOsPSszNQX6wNjyNv
RZY49JOX3jSaKTcNLpALEqn8Jm7dCra0CwCr01V2YDNbgBOZ/KXqQxyHNILNkqSfEyEogb4eHdmH
i4rtDeBhW38Cs9Mc29x6ru2guROMK92tWwEFRTIVB1AFuFVvZ+nk45AoY8NU1UXjF5C91U2+f2Kt
wb7G1NUyzbPpZNvIWgnxdWOCsWbuwUxAgNWfrS2gCE53k86MBGT+JQmc+o1F8Hu+rHNYCkKr2xcx
8xWq1Byu0bwSywmAAcZts7Q/mAwzncGcOQ3eTGzwiji72DPFgZHnE+wouaJKVatxZj1kM/VhRESz
xkGS7nqUdzpRZkul4vjWb+FFtDM5wh9gSAQy36rYdNephd0wJEp+hbMW7oQ3Iyhiz7c37Yyl8Pr+
Tfietsk/yBXhDLHgJMd/OYMtsGOiAiNTeI1WuV8RYW+tZGZfcs62JVTHK9YYROXOuAwwVs9TimFh
mjEaIZa4hT2jNfoZshG0PO9FKyJ2kCA4YNCDWJ2xHHZSIFuzQHU4bl2uYngU60oMoE0/kB4d0XbZ
B+djmJEfBXzmRQv2aM5nY0hUyNaG4AycAbXgrNuKkFVspZWOoERIqR6iDftW9I+kDk0WhUv8HUDS
f8eRoDdz2zsDiE1/Z2PcZMtslyoUj4IJWrzW7Ti6kpXuXBoXBvjTYE3APOAeJ+Ym82YcWYJEiPfv
ojNDOuPJgxGmE7Qqqm5Z+WY4+5NzzX5mg5LF+z6fAxeSfMKYOsT6ZGXbKteq7g6Ar9XfNSyz5lIt
IK/rrEBAxS9KNdWUrQiRzbBXhzYt+lignlt1tTFwZ2ujIHhJCfBKluTxRXw/Wp5yevY59dpAxm5A
Bm40zIyVfsRWksSZ664hmTQq2I2Na73MZq7mjRKYvBvYUZMH9S9pm/xAsLFJt5j5qgFrn0mf0CDK
Z2YgoQ7x6z5TrRwhLpuwdo2mMnwuLDF838//M+T+L0NuevOZePp/z+vO375Ur7V6/XlY98eL/nhK
e/YnEwoCnB0eT5y48+/7c8xtMZNjWodZ8zsl9c+HNKYDnYgFRtlYUnlmMWr/oWPR/9ZD+Xf/AYgT
1u8CXyvQamnzh/32UIbDBUUv7I4mdp4uPE2qMgxWpaZVxiM7TieyRkTlUeeH38JWc5lx492/t90K
LerU+HdJ6voTXkTTOFUiltdGVcvjgPgAv1ai0eDXRKkSxVZpm2yK2mfq9xRcllPGq87w2g0Oquhs
DK65xHvP1qno6OwLAXsPDZ15boLUXvoO7Em9c9MbpfQM6lTf3nqZxPMVjYECwtj3dFGV20LXltkz
PkX/sdVDjUQPN/duk9BNbyujeQQ/Nu1ryPLI7J3gRpb2dKuLpLodAnKoeb7K6wkm3FrrzeYwU5AY
JSAj6CRXkBXO85oIufV9Cxry1XHSchehy2A5O8GiBDdW3xBgEz6VqWq5BHOcg2bQoawPHXHn0LLe
2oOM150+u840PRuOVdAbR7esH1DBcmcXAq3FwupMY6mzlbvPmhYpghi+qGGoKPI7Ve+QtEfHMspi
0BGFXX+OMlIDFyXf4QOepPSMUS5krxZO6OksSC7haHJ/6VyHeFL1MWvSohvDq+Md/fZ1zwNq48SD
Wk0h0QA1Npqdjn7iOIRZe6QVjc6hSNl/N6S230Gfaje0bGrZSGVcw4epdyDZspNT6v3Rgtu9w4pt
vsaWmR9icOh3KG8S9tZKU+vMKBqFuttgCFlY7WkiJnSDe1eDsJ1kF40BwV0zWs0Ls+TkfTRq/d4A
hUG+wJCxnrS1sxk5m4BH8DPHiry7csi8mxKP6rNZRd1GgPBYZY2hr5n+TNteZwqrmdXwtexrVLZN
kR/joRmWjElmqSsnDnNGzfPeTDMm16ysBKMzWAUZa+YE/bEls/CSsYZXCwmkfz2iol6kOmZRouen
hetZr53RuVcZXpqtBazhbFV07m3Gw5/GEEZmjYJ4EJqH3Fzz4mMxWdYuCQp3p3ckJxIIGd9QITIz
UUSBK3gihFKQ9fJG0h9JiX5QI/Ype5kw1HZwi2SRZChXhEg6FXmhsORjHsuJ/RwJkCnVwKpZekoH
SFeD5nQKnhKoK7pLhdfxpUzYiDM1KIarwo6Ce89S9rWLK7Fyi2DbdU52E+l1c0t2CnM122zGRdtN
KuWczBxWV2XLc64Z7BVJFw4hsX2mAZ9zpb834xgfiSeqvY12HKBmKawJGFQ5tAtZ+ekjt5HiZszw
ZGSYL9ddmyLMZYp+ggaZEU7bFcXSKSMXWsZYXqdBGlxXoWXMI2jzc4JKXi24toenGkg4bk23He+k
VGZAGl+iradYhDugV+mhnboM2zBTLKJKtdImkLEY9evYx7qwRJqh0rOmoCo6AnYMTqPcL5ZWWfrc
SaKCIPc0/5oI5H3MT9PhZE5OOvLV2Kzs47HTHlFQoTmNERv6aPWDYWVGAqLIFGelsaEkm9JF4RbD
xUh08VTVfob8oTCqotwkEEt0wHSweAZcAWZAS2Bsqq5gMzjLhqQbrAdU7fqdTzjCKB8CJy2a28Yk
n2uXI/GJssNUIOielsiL0qFYWR1Dn7sqHgL3zQqUjwU8xADW2w9pF/els3YLW1MbrW2b+OvoFIVQ
WzDXVcWDi4fbP3XAf6kDgCbRXP/fZcDqW/Lav/6qZf3+mh+9OpwJdsgwGWiFwUz8VAU4Nus8h+3b
HFSnf3CZfrgSvU8Mm9jnefjSeFzPXfyPVh2kBXxyWwdNYbgzUeLvVAX0/b8NfTzW7UhtLV3MwfLY
uH6tClTMFoOis9yNcgyfoQNlBVmgJh3lwHWyHJwqbTZFOd4kuTH1S57w7Mwc9Du+XmywGZIsCqxA
PPtRSzBPlgF/JQyh/zY0KPWYx5M47eOyS4LmJnM1bQGa6fP8AIdOERWbLCD2hy4vWON0ZkfOQYx2
PluUuxjg5HHAlnNOYhtNutuy6XHIYLCWfpxWByloydqccbyGRAbJeoW+xZPV1VAyuJYpoeTaYMfb
nj8O4VAliz1dub+n3G9uMy+wDvgaP8dOqT1HScrEuMwI0ORJs0VCHxCWw3KrAFJwPQ2M9dKhvpCY
+5VrjQ/p80lFaFyYzv1/9s5rSW7k2qK/cn8AEzAJ94pC2TbVvpt8QdA1vE24xNffhaZGInuoofSu
CIkxMyQbVTCJPOfsvXa+831yDti/aISuVP1ej/PXBoscPQG/J/VFZ9hpN5CGzLZvdi3A9btkNG8d
a9ZJsumv+prWPXm4t6nhPWB1v6ISZIc/V/fM/lF+0bbFbVSxr+J9zy/lZa3KS+E1L1HZm5vF6GeM
4PFHRmLH1cQSrM67XOUfWRZxWdb1/Zxpy4e8YKDRWAkxnl4z7AayQzZpiqEI+eJsRdvIhXGUR876
EUhlt/nRCGiQHy2ufrZyjWBjMljvgUYXTzXj1ydUgUwx1lkdFbG1c/DF4OrrSTLRy1e5NDdENC6H
SGjIzlT7qRZG94C1e0QLFUHttJqCzAuzuSF17xB5iwfKhwxeNSbdi8i9B0em9b6eYeoapB5dUvy4
28X1jYPfOrw/Cu+xWBqtxQ83PcYiWhWBOGYZKqzMDT8avmh621W8bXTrtocPcV2mpHRh6Ulmxomr
JLJIqntrLZisDtITGEjrThY99CAPwK5lJQSY8OSwfRhTMpFJ+hjLGbJn11p4YuLGQPeaqjrgNcGe
CaBEfW0a83BB8dgPO4Si9iM5K+mFKB39o+CLhxJSCFnomUmQK+eyZh9D5BdeWqVfTKq1+2ONqQu8
WNarV62yF41+SV1Hr8p3p6vC7KwkiCuGSwVWETBpBe/FMjPu/7fQ/yf+c5MllVX236/0V8zL1/81
TfpTzff97/1jtQc4ZOigiFahkmUjZ/+XQsM38KeLtSNL3/3PdZ5//HNd1/+gWeOukDFB89Yleu+/
aMG+H1jgdyBUQtBjY3iAm4CP8aOsfkBKkfSYeo4saIyUy07trWyiXULkPCR2PU66L/Mwtl8ao4t+
kxJI0On7dwpye3rQvMKQgyA0fHf0FH2UnTcyP0IxXa4wri47zZSQb2kKw7frE/3QtzDYApOQKzqh
zHFWn61ZXTIIU49EY7dtQAg0+gAoC+yAfUPVHbAXc77pUobF6JMA7jd5t5j4nLEXXkSpq2htysbc
Wka/XPlujBfZfwt6I2snx+FUjd/czFupminLMbFYPuhlIIZ3rUZIdgcyjwHpNN+8jXJZKtXeHUV0
qu2VE+RUDDn5mHYVRFPVfLJ8xCeAFRkEDwTLqUFlRuAkQqvAiX7nchjRMpAI/QbsUBpX6esYW7Gz
m3xXM5/0MYrTbTnEpESRQqTZHxKdmDCagxOR1Rd1b+V4+6aybaab1nQBhwATn2LU61ri7epcGfEd
QXXOTi/ykt19Gpc6/Ds59gxUExTlR0OsfzI2SDR7menLVnscqE4QE6ViB7zswZtEb6gTY/IWyyNv
3TFidq2lwxzfCdoq/lyuBtlxtcrWb65Z+eagNTDAvCzD3GvbarXYTlXr7gcgGT3/tmo1ui921o7X
rpfhzs1Xo26xWnYXTHrhtNp4OyQkq623ZEJ7ZUjIAB6ilW71/o6rDbgrp10LtfmmXS3CgN1wC/dr
RxcfQ3Q7Em7/mK+2Yn01GENSwohjA6Hv2cR/W5W1d95qSW79mVAnKr9dUhkpgn3f+pDRMQ+mJKnJ
j0V/DLumBw5fHMzV9Jys9ucRtgFCCOgFmwp3tGZgk5b4pWdfPbhEWJD77vvys10b0V2ZJ244r1br
fDVd61NfXrh6IbeyIUkyWc3Z9WrTJtoh2SOB9784jOoBga+G7nG1dsfj6vKeKV+ufXB9bGQyQztV
b45wtZrDu9UmPhFA82SZxUOm4Vx3oC2Sdo6vPKXFS6uDhwqzidjB5hVHHCfMhFdLeoc3PYqk92lZ
7eo+jVFFtBcm9m5hSrLAwDISDO45TvfxzfK+mt+tcbHKAC0tTvrVHF+vNvmodo0P0HO8a8OtcNGb
U3/0s7w4Ak70N8Nqtper7Z44CdISrdK6mFZTfrHa88u4sW+JMTEwizTZS1sl2QeuKLTL1do/1Etx
GKqquc5X438TrwyAaMUBpJ213PBWHC/Lfo0ieeMGRA0IAZVBFQ3Q2bOsWHN65anOuvVBFCAv4ZE4
FHMXaWze0nQdeFjnwRvk5cie7Hl+IxhA/9MRrYzpVZ/k7cOQD9N9ukIPrDwGyjQDQqhXJEI3Ov1F
b6Oj2c4D3Az9jZ5grCAFe0UqNMs87ftFj0M9Q+LctaAX7BXCIDBEPmOEBszga8dqRTX0MBvgaFdh
NKA4n3y43gZkBxPCg7J1teoMAtxdw1fQVmxXVyCEvqIhiKEHEmHIkVDGiqFLos/hssIkmjesRDul
u0IoRGeVmG6z2m6vkxVEwawa184KpxhWTAWUxPGWExKdsWEMz4TKGRucN2XIc9KH9Qq7mN6wF28E
DPIc8sdmxWJw2XlatInASDdvvlqa0+8Xj81wMEck4yFIFxhTAG24b8wNcl+dTUZjIfCkbb5iXVjt
oiuoQ63IDh92B8So8SqJyhsGHP61uQI+UEkV+8X2iZB743/oKwoEi7h+5fe5f00/3bxV84gcja2g
fwlftCDNfj4Xb2wRY8WMDEPMyE/4sEeiqZ+PaW7Ep6YG+hp7TOY5GdXVAHIS8yBLzYoy0VD4ncxW
GPcOzAa6cL0WbWTrqC/JGwlleqOiDCsgRa6olNxxqdzhZvAu8bfg50wMKaBVihWy0oLgfjC6TN7F
bu9emyuFQBtarPiwqdpHiW32erbd5WpcAS7NinLh9TndFWkN34Wnx72spkl9VW/8l3xFwVSVPZ20
uByBIBjj9dh31skszGrnpW37NNm2vJltFaFvG5e9lc4JHu+hIQBkqD97feW+Qh2Da+WsMcK+H3+d
oGdtme77GGqa3YRb60LN0g6Z4fYbrV4ZWr4mNdRzqGMCXTKibkrPKIianUgBcRYtOxWJaJ+ioeq3
kERhKtnlCvV0UFpVwmgZ84ztsxdXjrNlBFR+tuLY21ftHF0NRuRdjF6lYV1fumPiewcfZyM0L5P3
GwKavrjuhe6fM6+UVxDSgG14sj61NcixqCfrJqOJdU1G6ojPpxqeaXUTNdD4IxoTobGjlxSst00s
vctF89U33RoKLMpDyuva5xxfFFOvPSSJ7Xxo8UnsZ6Y0IqilllXrot3gImfmuO11rz67OSa5VI8q
lqURiJVXKKqAyPb2bl8DMwAhllob4hvaDWGFVMi1633K9aXZ6an1SQyyvtLiyr734hjPhj5bl6vO
mmVQmTeqXXSsMhVwBFue2sIy9iCKN6Oq0tDPWvNq8PoMMgeSki6p6ps6Nq1H1+tHcG1asWvb2t5r
TlY1ZO4i6KY1GxY5hkmttpqjWnR569qx+EIxXPQBjVAYWNPo3xt0HJlcStiISUfIUJQlAkhPI26w
LzE8NMfZvy3iyt0TMl0D6LMuPZjCXPZS6Fetblz1eBpPiCG9rZFqLeMBkg3hc03+Iepb9+Bq6Ptk
IUEKREreNEvR3EAnw9WZmOZhtuwKwSyRGhNz5mUfGZ37zF7ApPLEEsP023JfPRgtH8ras3dIB1/s
tnC3WubfWgwZMr6f3kPkmzx5IAoT3lHWZ8mJaAZA9ZVJtIMraEDy0m6XL2nTlW0g8ZKdTHg7ds3r
TdEN5NYUcldmuX2DcTzfGSkv6wG6XrZDQOpmoYXvLUN6J4ZrwmbbULbdExE95XmcRoESbNHFnvcd
3nwx5IRZaGqnpYZ7IKnGOzNlmHkruOkHNmiO3GgZ9XCrosPQZNEmTnLfJEyhAxeIs9LYcGcXNxNE
7GTTiTkjaAEF1RaXj0IHlk93TtcBwgAAeXR0VZ37vJ14Tiyn4+bw3a9sfJOtID5+n+ssKx4gffql
7FSrgLb4dD/Ce3wk46d4FGipdtAmFoHqtm3PTd77FwvoinIb29FRd5uhDLAlWLCFat5ggTdGx3QY
uwWispWdst73W1yURjqwxfSR3bVmLL9ZZeZK2rV5r+jGB1brXUYjIrm5x0ZlM1W+hd5gXQnRqWuf
hnvo52m86YF6nMgfWrbo8+KXxfEuMuE8xA5z08FMr6sUDQcIgVOZu8bH1EV50CkIAW3k0BNxS+cF
IbZ5VBqS6XFKrLBl2L5trOUTDeXPqavdeg0daT8ZnZDkjSSQLRTIuqf3rFsaZAKbjj8lwkVaGCU8
DBTKvkmmrvLExpf+gPmKzQ0avTOhCtaVtMUHQwqcoWOPvC1HRpfnXkfVXXBicGWit1AMdi2mu7Ur
KvSjLWNpMNQk0auTl47nBAXXEw2GIgdpgPFVd6puZ2BxR845I+rIwTEuteqDWpR70lmIZkoz6wOp
TRBe0gVxMIpIhALueXaSddiO3LXi9vuEyGBrunb0UGJ3PDRapE42g5QrtCVpOMaT2AD25zWHEf8I
LsLbQY1eNg3xYRslBlxzNe7dSgNR7eeZOts6Xy7zCnJL0UI4bdP1G6dhCvZDxfwf6OgYhJrEOaIv
stAuUR/+XJYmkVAQuLz0CE6dso4wb2AQOMCrwB5y517oFRUpe6mKVzbtvb8/+Ht523pw4iTomKLK
xET07uBLWnWOWpoU22DdfVmyrrps0iI5e7mf3/39odZR6o/6Jw5lGR7/X6tfRjbvDkV8dubMScmh
GoZmW54RVQSViutvf3+ctQ/8lwMJ2HU0HHQGbu9pBHmtSFPLUXIMTaR2ideJo8PIYVtUiDkxxeX+
5egnespFLz81bkxFDZUyOWvkqVNcRwmf7u0j/W9Q8JtBwZp4+sPF+4srDppZ36Vf+v+rX/8Ph9xQ
fk5/0g58//t/Dg0wtOmMCqBMOG8+H+7lPxkY7h+G4QJM0KFQvM0N/tVN8rDBEb9KHQvpmiKD2+7P
7pL3B80Iy+Q3nZWgwW/9F92lv952BIfg4EMySEOLJs+7oYEyqtygwNMP+byS9l+hC59nFR0zzwur
qTqUqX4C1LmlEftikHqTWfI3D/Nqnvr5zucjoMc16DD5BKga6+//AI6oYXc3nke1V3fUzpF4UX5z
KUemzyXoVbR/OiPs0G/iip5XdNWgJtq7pqi2k/mBoRpsMiT8hBjr5LqntbfreZs1LpncKwNf2KS/
New7RuQ7evNFAOJCj7fqngIt/5jh/lj/UQmBfE49yqXepyU4YG2rbP8g6p4Bc5w7l5gaKhUseo88
WuukZYV6DsDeqp6Ux4Sce+IwM3IvLaoA07qIYT1AYlxuRS9XnyAuHE9D+pYh1wbqvJX5JSieWzrX
w3auaJ9p8Jsc/4NhaVsZo0uUfAJawuvucCMcF9iqH+hJsh3qIhznklU1vyOJ7CFrp26by3I79s1H
5h36Pi2Gm1i6F5iiSIUbNn2Wb1pnKvbOwseYemoJq6q+lLPQ0bR5IPD06Usl4jB2KK4rOdnYsxpe
UJKDLbs0t84xQY6b/y0u/1Fzmnrmb8eQ5+5bXFc/9aW//5V/LCiIcP9AgOSztaDGXdeUfy4ohin+
4HVFJhFCJY9cIGRKfyqGHRTDJusQqw3rzVvn+k8xksFa4yMSRKnEC8j57yy3SNJ+fpyRR1nkPUEM
R5wMjdp8t6LkcljyafDTmyz3IcNtLCqnNuh4iM5+1AhxKxysZXusGmygQAKDhg0m7B40hcd6mq9b
3viM+nNSd4n1QzF3l3gEpMzPtjdqub5xYKsgOAJbFi+VPt30Rat/LfVm0skvk1XqbTocerAA0Crz
zNeJmXukpfgi3pbkR5zKrDJeV8A7hAfZep+1NZiJZzc+uUBag7qOURD1LuBE1Ln7eKmXEE+wfs7z
tB4BnznDgB+mK8GrFU2HQtMS2iNUxM8eG7uwXKkq0NjcawcM3DFdluySQgTI4mgPH6cM05JAQOIE
XeUkd527RqvLelY3sFYiP2zMqey2FoRVjTnp0ntbiQokJC4yuWjRCsfj2+Z7cj6n09g/Soz22bVt
zlrIuMM9p50OhQW3SZJCJ1D2pif6MQkif/bHQOp9qtA09cRlciXUS6TqCk2TP9LVmaP43hVW5Aey
VohBFR//mDpRcrFM8/xCW8Sw0YLOOlZGa9z6Tg60QDey0ti5vZPEAZOs5ll1c7eJ4zaTGNfG8qTJ
CqC9ZjOo3JTR4rFDm9wBZrPglqBviRgMDDZMJJq5soPG4aoP/aBasCEddxa+PkZ1oV8kcwg1ztpK
vXNQi2TJq9sVxDjGaX6QqWBKF1tOCA9vYJCcuLftIuYY3mAeh6bq69vcYc6sagoAvWyNW832J0q0
kqhCwQACD4rtfJ0a3whnHpprarClQYRVl0mOLwk/zq6ttOYSOXKmrnRgfG5zgqIwefjq7EoiA+VE
UFiWjCaaG5G3SX1cSDcSgW6hWWII7KVOFwylFJcovmlhB/SxPV4cDSo/AZSbs3c7yJhrtRije0/u
IYWUq+G0eSIREvsRFGE9VAmz4aADy08C5DxDm3co4ZBt1VHnX0JgSb6S3KTQdhdu7gaFp0rtckQ6
JGGWzPW11Lz0cqwYSjhRNX0CJOs0AUT1YasIWlTHOVbIi9FaV7TGC0dPDhDuMWj5uijwddLNAWO6
YiwPFNMuI/80vQFVYiybpEUfENRIh3iyI8+NIFSotA+7bIWjNBGkxssFJeFK2RRQVdC9WmFDBpCx
0SutW4JMY5J/41R6KgH+DqV7hWhhuqYpp+/ZFsPnZuKCQI9RCI45lz55obkpLcW6GHcARREO2Ab5
FWFZeNOLicZv3zM0YJqsy7tl7nkV+4P2RVv8imdKc+p549mZsq/7GofDjtc84oh4UPXLDElQBGAC
kodlwZ62F1HTVXv+I6GdvsZk/MBKpO4FQ4n6iN2DML20KExnX+iJOQE3iqyjhYHwddLEo42x89JK
bbncj7k5NocJSXRNiLWaQ6/RjAtLUustBAXdimrieYyEn0HujVnN7IEgwFy12X6ZLe+UaR5mW2/S
5vlyNqCuu5aslpAjIRTyIrklsQjkZMq1qncx4v0Qq5N1qzGRAN404GB0/My8qJ3K31pepgHjI/cH
TFQy081dRBrqVmFynXNCMD53rZt9ymimPlpdMX5Y2+3dtkPXzrMm5hFSNKDQ0nC0/thBBt4U1pDJ
LQkEcXfBHyDnx9Aw9gZ4VRqFD81bIEsLqdkEhynh2o0eZKoQYzgPToLg1AGYYztdjP0Ym+5BwyZe
byMkjMhLaxuQ6VVdNQPiApSHDwZs0KdxgpTMLQzrjKwyrg3kzIPjTe6tY2NSiftIhb2ZgJvyK1cH
EYsDGNxPhFNvnoBZRlJcF6WJSLvs3NK4mhjRXy394mR7r62tl7afX2jcjzi7iQgzQiONCm8DcrTH
eTsSIHZVNqVxvShD3jEezbpNzfsrvkVwH3VEjYtCLepQWjSSkWkCC42jUytZNa6xsBu7/+2n/pP9
1Apip5T+98P+HQiT9OtPBdo//s6fg379D34EemoyZcTKKWF79o8KzXP/YIPlrCNwExSJ5VK8/Tnv
h2Gi0xSgQNMt3cTd988Kbd2FQXWAGqIjHV69W/9NhfaX6siBXML8HxwKe339rYD7oTqKp1lfPAYN
+HwGIJfgihmN0Av0L+F6Mfd2bbofBBjAkaJb9jvbovFOVMYmDmw+Oy4b4weaS/FuN0efWizp6Mq9
gAaOs9wvdtGU9Tsx9ey0LLGIIzxRf9vp9beinty7vF/JdbY+XpXLQjZFXke/aT2tPrsfC8bvn2nd
r0L89Dkx73oysdA0uh6W3FfxUB31zt76Oo2wBRT5dSTZaiQuA5TCBn5foAg4D01KegoG2pB+VI2F
ufhW8JBe5x4TuGX6CN3ORErQN/eqGtKg6VOASHEynSpVXMMLL7/XPv82dOnXX4C5EMY6VIFsx3+u
eOma+6XyJk5qou7izm12wyTixwSH+aZh3Q2ZFOmb0nX6w1B35UklyydwdA+yc/y1PxRtZq8bt4le
+7f14tYPHtFEC/mAJ8vD8D01sQLKkGmhlfXFrkvb5jffwFgv+w9tse+X4IdvsHazfrgrp77gA9cK
xR8OsFPEW/XU07NG26yHPXu3wBrQAALP402IPm0dov/mLrB+eRdQ5qB69EwMlGvn7oeP4CnGnsoe
5B6bEyOFgYyhz4gib1w07QHJMV/ZGczP7OWSL7Lb9MMYbzJMQ9iuEnrOsdyZOkklHTXRytCbSkiN
Q7OhctD3qA1ZsLPY+KYqw9h3kXvvghKw9Yz0Gs1/JqSOifto65eabRSHpa4/waVg/siBYvEWaunD
HPxh2br5fnJ/jAV7V1etp5yUV2wohoMJxXjvXEZC6uYR4Ix9mxXPVYSkJStCbQEyj9Xf+t77+7e3
KAvb++tLg5UyEp4BP1h/15ORRU57G0j4nq7Lq5967OcMRIhiXvzfHOnd+vb9axHyYfqCPgZylJ8v
IzFdQ+NGNndSFz/kMMyes2JZWUZKOHjectIGdEfzTpHDFODvz+g7vuf3QwsUWvSxeQG8p0P1MTke
EcKW/UDZEfXezey2d1jhXgu3/8y66vym0/W+2fb9gDZ0K8NkVUf1+/N39UdNzmnKLctaX90NVndt
qsgKVYUUF7XGNz0qH+q0mMNYNd52EAAdRvZTIZOh33z1X95M0LnoIsCU+kuRng79aCcjz+/k1X2o
N6iEBK68QEvreGMn2evfn+n1WXy3XBDnQq+C7h6js/crNvtOIp6GmYtMhbhHchltlsFLLv/+KL88
vwavS+4kTi+ziZ/PbyaNuDZEI/c0JrqNN84JIR20IJyIeI1JWjydTPxCTbVIVqOYBNvRKLbzqF0s
C4Hqv/k0v3qGPOYULkNPjNPvrzbBV8hjGTvulSGSz43baTQ6cEudJbV0GUxO7TibeuAHMH+F8BKM
TotFGrAYUVnUcUyJJgazV2Ni4fc0+34AuRfb8uvff85ffExwujCDnXWL8ZcHsIH+0jcebltCYLpb
sn2cXa3c6CLrenZV/9x4/WIFo/30l7vAcHG1ktOIIe79CjZhtgUhnnN5kLZRvLvxTnbLlRpVvIlL
Q2OoVUJ5dHsTseCg/2ah+cX3hJ3DYIVFhhnu+7TshNpX2ZXT7p056naDWMatkC1hVpGd/veHgu0l
wBQjuvC897OcFIwp1Ey3RVIUwcy1lHu7VElJUe3ov7t8v1jEuHwMCUzbdN2/eAHNBVx9PXD5UrT3
YYTo/57AYVLadLkE+lzS164T9Zvl4xfn0me77BPU6Rj4id8t2nGsV72f2O1emSt4yWbamWalGdK0
+d2gEdLBX28bdho6rUtslHCN3q2aXg7sNMZ5Rvupw1LokCDRkdcspiUkuATrl9NJnEcTKplNa42T
tmv7bpi3WKetkmAZyuhtasWLf8SqUzyZRPYkYYexbgibAtMx+Pk2+UTSgnaVM3CUoJkKtKySNg0O
Ab6StVnt6qCvRnsydpOlW+riLWeNBEt32daYqzOGBInx4AwmhSLdLRsbvFHOzpbgn8R88SfSHr85
mSmY1TWm7iQXJDBaUdhhC0seZVEb6lhUtEL3Cc4wsdX0xjiVyzxreznko7y2S6bRV4LmWHTrSKOo
1um0NkEU7mQOskr4OU66fBQxGoJqjU1YedQ77O3FPU42kMpdpdUHo8urKFBxZ3YM19OnUhJsH8zo
/rIjGQUxwKmhrvOdyulbbctGVd1lNjKgQpcGIZagaDmhlJ1Hm/5FPapIv4DUEOlnwysbM2xKe91c
pURwfXLJuoE/iDWTATbIlXs8bBpRLr3M1M0UueN9lYoOj57W+u6dXpc4qojyi4cjm1j4st7spwB6
YlpUoomXZSNl5oMZ4BW1LaJK9uCKTEY9rbS9xyxpVwtgWVvIiMjbCTDm2dCFhlujA3Q82s1z1JjF
S6F5+l1fwXmIiAA/aGuCo9X6Z+jGq6xmNwPLuotcHzB2Em9zmnh71Jl4wf2cYdQwnqxRTfCv5Kcs
dzC4D3i1h2y2dqVlfRWgDLaMiVYpU+fuHTJvtr5Inb3wlxp8GIKGjC7XhST44LPbEy8uEBsHkHM/
La1Dup+1ZmTPKrDT4gnHMWACp72x4XZvDTIAb+BCLhuSQIwLryySK2vielAtEDeYRk/zYtl7WzNu
0xRjPCO96BhhGNzMWT6wqcBRUfCOCqV0l9u8mI9tL2icLMrml/ycGyDJJ9GdcK2a4aLn7Xbumetn
STRuyKUqLyYrCTFQeDdgJO5KLUH1OHnJDkwR+TMYJcLIhCmwsHW9i+Ki+QhlSr+sEhdwWw/QgKzO
7tXRWqL5+rEJvSEv9lha7GMHMD1wiWc9WnpqHqVyMYXM4wkLxi61G4N0b/VS6kP7UqXRwbXFfTqo
F3uOmP/pQIO7IXopiWDseAJBAY+Di6xHa6MQot8DaM/oJCMLR2pce6DEBMI13DiByDD+J9QNd2mn
jTdt3Hl3cmA2OFnyslcRzdN5jRHSqm8Swc7Bs/oU43BZHqrSG1+FREaiUiIXoUlB218USa5ttVg1
0z+9i6Ntnfo92b0erlOTm+e5RMwwh25LHcGrnEWCGNHpA26i/LqduMsyBbONttCRzFu11eq+xoiz
eKjH63o780Bso+8hrSDM40l+QPS9BrgqMxLEuS7S7D5ohrUjnZTQEA1pVbNHm15/mV0SuA9WXphD
WCKOGgNVM5S+1BCAolZ3vS4OCjXa2imqMZMGUd2mh67jTNEHrIoQjej4kBCqeWMWGTHlkLLT45Q5
3db20/bamEwk7CmtuICsKCRBqdQ/O3rEfpLE+wZgi15cNLz6vvTSix1IXHEN9txOLRxhEp3ImEev
PvmZpPpWxA0Hb6DHRXnzI82M8rVrOkTXqpTGxwoDW0iJZp9JKW0+oPeeQplIte/ZLz14ZDl9GCU/
RzEr2ta92Z4WpFmbdK7E0RSWfDbNN2sXRmAcUAN3Ar6B9iWJvfZL2wgA4LPWvritmR4ykKvFkWi8
fJcqXT5jpVXUh8T5hRBLyj4cllX0UpiajSgeF0PsOPYmY7t3HPBLhO4q3KAq9btdTt1UHsqm5s/3
aTw+tdEUL1uPDqUX+PEKg6KzDICupP9EsllSrPegNp1IfkvuAdhCinE7CPGS06k9gdLiK7pN7icX
sbnwUZ18fBrNeZiAXEfxOfVQWJPau1zV4BYvMcDzUwkt3Qs9de7H3rSXgO1de3IwJZ+zSTYfgRCZ
22ms7XPc8ahuq7pcdpgCcsSl8ypmgi9yLopmTa2AUH3mIWp5qLi6jk0uQg4q98yYqfncjXF3KxZ0
iTLlfKdZTiyaggHnJZxUgmzVhcatedvYXfPZXivMTeUsDfmvbZZCdbPTgz0TTuVow3xjdKI9NXA1
Lxe0tp971XQvgKhNvGNu+6U2YlyCy4A8EntDGZ1iuhH7we/lV3+S9lksLV7nsfbj8wyWt2G3DW/7
K7gfgZqPKZsFgofcpUhdGryWm3DyGXHjsmhbnFkJcmNvGCLAd7VOb9xQRBHbdfTYMOm6duyh/ujE
QCr7NRuI2f0SGcFIftlXewB2F/deS9S0HoWxNow4IPjywnfnRw9t5ccqjtKDtXI1G12LzwMuOFza
ns3+v8J5ehZWWxy7PIIy3pPUnIWQG6IT0wn+APA8D6bJVPRhttATDBaec9pYlXwm8Ey9MnOTX91Y
AF+IVHE0un69ywcC74MmM+37tExGUgb6wd2gGwbwiFjszus7TDBZ4txr/oKjoamm5KyckjgICSX5
pWiX+cZz5PCkI/m+S9fLbZIQdmlDNbxrxciBchSUvuvqZsAmIzkLyVnzskTd6LGmXvWlTsllWx03
VudFdybIuGOrJ0AYrYmfWC/5HRvp+ZE5k/y6TCNWwwWycrLVykS9umTjAt0nwWEdJRqyCwiUIijZ
0WrUgyJbSoYehEbciYQCI2gG2apjOTIa5btzJy3MElh6HcGdxpqVnGEu1AaS36W+0axM74JRFVxr
XXrMPB2rRrRGYORrjckVDI5eZpu2nNpXJN3Gk4ibKYTlZHyD2jog+DXn9pbVYnmtzazpNoToIsDu
Mnv4ZjLAtblmLvd+03BaHN7kcq9PudGBJzCIvzQL7c7vdVYz1yGcufHa2z6qmu3Qms11P6rmw0x4
263Re/EZLH/KTAu0Yyo965jJxO+26B2tY6XF/TNWqNVjonmSNb7O1/RCVXPyPMu9oiaOds0QMTin
Ye3SN+0thtiR5X1cYCddR9Ca9mNRjAeBTvjY8tq8tEB5EifsxumNI2SzawDePnbNyPwRaF4f1/wn
2TRNGI2N9dn2Y3snmgJhosAfYFozhtTRcvYG5yvQSVENwe/wHPZWqe6Msptv2IRMQSWy6Mks1vmR
Vt+jrr4iNo1xvK6n1DJdF6IkyK5b+j/6kIxINZuOwyIl0CdGL4lLPLJjLSmoz1S7muH8nitlR/dO
ZNZHfybQgkUXBIRR+X3Q4v872ml/GpUqwpRn80qPp+6SGM9V8Im8h60+W0DfnAJaqJ98m9lR7lbz
XU7M49exECdEqOi8lccvlmy3FUoFtALiYp4z8cx+W0dMM9ef/ak/137d7xI6y8cWz828AX7JDi+r
1TPa0PhOr5Jp587NwamLNvQx9MVBClXXm5ZP9P/KD3mJYZd3DieJkWnMQk+Fs3FRCSabLM/lMdd0
KxgjDWUCs+edHAb7IjHWMGXIKjeMmHSMgpm8H1rNYanz47tBcpDBjtybQUeFS2Ma8Y8biU9+6jtP
QCKKQ5q6T+CUSggPccI+kK1cUK7m2DqdkqvUo3FTG+Yxwor9OdGjaTd6mr7vGZiHXspIdxp5GGWT
9MGU0yqMlXIu2FyI50zY5BDM9Y7HiQW4zqhOY3Bx+D98/3XMB/N5boRx7Zf+4oRxKR4aAgg3M3vY
nc3adVFGsngybNe9VSNXyR7l3O5c9oVk43TxlkFd821BBmtucB6l1y1UjntS+uIUbWpFTEED7ioQ
hDFg0WJUxwAh+H/2zmRJbiTLsr/SUnuEAIp5URuDjT67+UA6NxCSTgKKeYYCX99HPSKzGc4oUrLX
tQhKSpI2YVA8fe/ec0MmgtEI7CwSTDw/Z2SBXiRo3tBoFyRTOwYGbQJgV1N8GKRR7rkV95JoBwo1
F9cPOOSb0nE1w6WmzHAm4tN8Eyp2MMhzYKK7zks7uOwXzNmxme5SMiY2ud25t2Xj1nWUziG0Oxgb
p2Wpp2udx1NRoxk5N5xXXTSJym6LzEan0mZrwX3XQR/ZFEbGbUQ2wnQdxkP2sRSOdwAkWPHIUTVP
rLWh0TBKQ92Fsd1eLTSzNUZ4kkR+dthewlmaZ5d4+C7z1TGehmgK+vwa4nx92VfI1nqnxs/BgAcQ
dD8Aq0fY78GesZQRfgxBtbLP+dzVsDJKAh2jtoHUmvlVCop4GqyPCh3rqRb+F2v1vsVd3X6iYi0+
FX1Zs2iRmOcXroE5bUx2gz+W94tHxVIsCOo3mKvXKFExnNjSVMdJlJO8MOx6draTb/a4E3JwOywa
Xn1rzAkz34pgo1uaKpDCRJCRqDQWBYtQjU/iU4nS5160QXkPWAxunlxYQLN0Hl6LXphfqj5LX9sY
u0ck0APcto3LuArBwgNKbzQEHRUP502yyWHITFAFLj/7VDQBT5RQNS88LencrYWFGzahIXki7Uk8
Uh+zMyWMxCEwSvWvZV4Pr/3Y00Tol7H8njs6zF1DmD6ZfWZ9yVOdJ1I7i7rrMdh8ImqUTbgTS5CJ
zRr3r+TAG4QJrVOIbT53q4eiVSwMfarmeu8nw1TvnXCmo0GwAJdHirUP52ZV1A+pN+YuNWYdf8Lf
zGvCRhXd1s/C3N06KC0ahErLkANA41vuMkAVaD4ZlfpsYhQfmkmn6i/lSjjIluz3iXyZucGzsad4
5Z1XA03JyZlpfm5TJ1yMA+5bSoAhNvhJbKbCqyw1HfJtwPWNURF7nCVj5VEXFWqMP03dhN4lGaVG
iycuSe3jyKeOrb1g73fs8NOfB9OdiKzZ4NK2gBf3JuNP31qJ7mQ/UR/s0E0iuyUJCYGRbgoA8qoe
XEuK6lDIjHYPhifJBjNX+bGx6ALditZV1n5wV/dy6Yb6wZ0zENeEG8OhneNWJ8/7Lv2QrjHz7LIv
p3w6lAskyWsoz9P3ibgebiXhNum1hxv0MV8mQex0VX0ordC/z/2whWneBOYjTOl+QRfqWPGtM/Kj
yfQB2EOr3eFbywrBG+0sVRnM/4iIiTgn3Lv0/tNlS1+GozgZA/9+xRnzKtm9yA1fNiR3e+q/yazP
sM+NXcsAI4RGcDBzKVRUABGk3uV0Au+h/3cxy97QnpCBis5NnSY7oZOhidIxWwGa3Uq341Z32HDz
EOb5FZWErEGqgspfRmJVa3GbTrYZtbqELAhCHvB5ifTJykyxa4vavPD6qjvOJUbFMgkUYN9cPq9r
Oj/NAtrvr5vIP7cedQAC4y9s1tgAtPzxx7Ff23IKJwQ9h3kU085f4D9ysostCdXl8f/jo0IGFiZ9
VYb57z6qsxkPWKU7HCBeyAPSmBk2PWm5dmC1vxkN/dOvYrjPpB2bv4dV/e+/arVU3qBBJhFVKaoZ
e2233TDA7FL+ePr1r/q5C++AqjNNuvDIFOAX/f2jtAMmL1wOYChR+02LuAfd6X1XOG2SKtZxVgBQ
yB7Bo2I69W/O3s+DIP3htP+1roJ25rvfORCNHdvNMBxw7XnkuasU47nT/mYQ9PPRdAVKCcJfHE+Q
6/fuU3r6Cf3UxuOBLDKvQy2hFwZXEe62y5qSq/rXR/TnFrwL2RqpK7paLpP3OD63nYSdWsN4IF9h
2BCm9o0hyPcgIfOM+Ce0dtlf0Sv/43j258PoCgGWlZklhIqfUD/cYNkc2PV4ADPi4tQL0Q2Y4e8S
HfVh+vvUjk9BkR8yMgmxB+jD/MOEnfBV3AFtPuJKnZaNbRhXAKRvFwvPkzJL9zczhX86ij9+2ruT
5jlm0iZuMR6CaSbhDn5CMkEIbVicCUCgfscD8+XXJ05oocX7Xxj4GCnQPoPqeBso/vALlzRHLzZz
21mpx9a7dornxBzB79QrWbR1ApeoPfvTEkRtwdbUw1Z6QZlwHJOuPkxjOO3o9NCDnP3mK+GFxmnx
HAjIOCkfVprfPDMSYAzt+puFyfqH82+bRE4jBcAR+NMVF/SEKtQDt5GcR0ej1mbknkq50w4vPTSi
nnZuE9QzApC82Qlipj9heVdA74Pmxh9WG8xZEtK0h8j260Pq/uNXY33WdzhidKH//odDmoWFl69u
MRzUkO5EnLpb2aVsfwJvQMuc9E9K2llkzh744JpI5QtVZd1VH/OYhc0EVWjSokenz/BcVuhIrIYM
two9dyWSBV+FYGjOI/2EyLzekiE9bGfEhBEjn/B5nKXxPExBDDBQtlHnGP7etgWTVfoOuBnUxZDD
ZERmgy0idsONKtgzOfnTiB/1JncWe7PYa77vIFoR96A3ccTDtkCgqYcpfBVYhitIFeYHA4PlATij
AVpo+Z4v9nkIICXCKiFN20uHW9652v/60P58g7CtQKrGXe+Env9+DqZ6ch3cWZ/0PoWKN6aRDMwT
SNpHpOP0DMbS+o9vST7RZbF2QZzq9ebv5zKkDx+Eaz6ggIlPVu9ohenXsHKuOrvCgxl6H3/9C39e
twMoVQHoHOA5iPHeic36JJzYwY0D3fCiwcusycv1jD1adMv21x/182UaEATpMWoLGZ/a79VDyegC
3ZtqnoLB5F7WRmud6nn0f3MA//FTHPRJ8N3AtL8/ZSXhY+XAYBKrd0efqfVD4zi2SXD36x9j/byO
8WsCOD3oFxmQvpca5NKgeG3QBill1Vt0O9neU2UC+LFiIhH3PiUFF77p28lFF3zoRHKonVz+uSz9
r2HwN4ZBHJsmZ/7fUoifHIOHb3WX/N0k+Ndr/p8GVXP7cOGYgrg8x6Yo+5cG1f0DSw73gs+KqqtD
/upfGlTuH/wIQ/rf/2Wbf3B54fhxeSAg1hT/keQUy8/fnot0o7EK8WYm032EBd67J38o6or0zaA4
kvP4gmJdbYaeLSL6rY+V4T10JNFXeiQXlNZHuk3WfvSXPRkjF4Me39FwFSd7xlDQ6+EeZCH3BCWi
OODva3A1MAQcprD7vsTUnNg1GFjoYaGhx4ao/cyz8TZK1ENFbNy0FAMp9zE0oN2Y+GdIhcHdvEp4
Dtj+q1nOvNuou/lti7JfiO2iB5nMG6N2Km+XHoZqo4edGVPPTo8/XbzT29qf/cha5vFRSOC4iR6Y
pnp06jBDxa/vHvoh+QD9XG6EHrT6euQ66OFrpsewph7IWl7PHEwPaemy7hymtiPT21GPcfGwMH9m
sluPFrldyBK2nR77Sj0AzvUo2NZD4aZo6d7oQXGnR8azHh7PDgMs2H+vgx4sO3rELPWwmX7TZ0Fz
T09QIfUykIaENzMJYHy4DlWy46wCRGKAXTLJHphoMwC7jfWIezRadWxsxqXKr61zqEfhgx6Kswru
y3C+X62hPOesMVeyCLpxQ3ZoDlRqLK67xk7mnQgmNoBEGH8caebfo6EkYas3hsiGto8HPZm6h9Y2
4gcCSdxLJ19oNxil2x2hALVsCBt509XF/DEO2cmyLQifVQkaB7fVyEytZiCZTmG562eSu1qknPf+
TIBwVcDxYcw2ucfBDpoXX2Y0DzJ/Kp4rQtsvwROEB1MU1o1TvTVjrALtQmI23RVzvGDbSNvi4IVY
wRgFMNrpRVNBi4wJbVhrs7pojZUGYhtUPmSEIp8NwtJLSSoWuagLWpS9mP3sky9o/WxxSFU7NFLx
cyborgR2XO5UKesHK6+tG9tT9aWjN+d0IrNPTROzWcfERzdB5qsFrcJQUElsdbe4EO5HoPEVMcWO
2oGq4/xh+zraw6xDcim2t10bOJ8hHhbPCxPIL93o2yfDxmIRJZiTj5Sf/Jt0UnccQCNCMyCBJaAe
fWSMR0k18JbIWZdxa1bJcieAgT27I1ltR7ef+PHtkixn4LN8x7I2aXB7I80/nLh5ZC+cB/xnvCFA
yrTdkXGJ7x0gEEiIsnlJuf8O0kP6RMHJMCJWsvc2PlEHz41VyZulpVCW7TodrNFuvrmKVn881s3t
2zfL2AsF+2m0ePtCCP8+WVOmN27nepEdp8G9o/TU0hjK74XuoVVuNT72mTNHtbcgl5P6h7/NEBCT
DU++IpO8IINDnNyJRWTLpmjZmSGQpWx2sk9vVxrQUT5tpbjAk7LQSpZqDsnQDOvbuQlpQdE3Y/zM
7OuZTpr4ACaZ7shQOv59B4PlVOexOlu027ZdR8NYJKPvHCGes+qNoCLITeOsCfKv9sVcDq9Y7uBf
mLV3i81/wbVniXNsZsF5bo1yl3JF4hwM3fhTKBhhzm6ZMvmLFW80BXyiv5BFXSSp8VCv1Ji4UeqH
NqFRXoO03L2drXIu6weZLH0Q9XlcDZFFzRvVWLYJ/HLcK6vVqAsC5dIJ3QNvPxJzHvmF4qpf+QN5
zkvANDYSbS2jPltv+iq9mdrlDgjH49TSRp3c+hNWSgLhCSYIg2sxjIxckrtUo7WLIT2WWffdncPL
0KZZPNCsrIR/Vr1NYzc9kDzynHQ9jjxTBVdAzljoYhebMsHYzVJHgajq88BzbNwIvYu1pOWdaUw9
9VZm3XgTa3huBZQvfkPoiU+tKcvlRqpwO6ts28f1hV358Z01GOrWUiLbB3WCkGYOvPTg1TnRduHk
4GkDhe0jxDtOE3DTIcCXtzU667VKSCZpxbe2murLNpXNZbaOPbDz0jqxqfnaWcOxCtx7HpNFlE+j
TcswiV+MRHzEQfd1GdnYr1Vf7osJOE+5VGy7SnvZMtOgwy86MUWN59UPo+04Eb649bWcXDppSKO0
AHLfDOqhysbmAhQXM5ohjVx35QRLz9qrdow32bzkeDqsJ2+hn0o/8ZSrpTyZpNweQfQRyRiMDb7x
XCdRj0wKQBbhhHtpzRExV1Wb8A1N/6LjwqeU9sytO8UvplW2EfF3m9FavttLc25k4H+TgvGkM7fm
J5956tbK88eB8vHzshj2jnsdej5ImMgcK7QhaBAuiMLFJTutK+uBPRXHBB8YfUXsyNHK4C+MH9qy
f02XId6ZVbDcoHObaZlhXB0iTXpfNtXajTvoLzAiLQ+H35zfc1l1O/Bi1p29Ls5uFmMFjWA0smMO
c22LbQz7qiWab8DI8h15g6elrMk7aJrPIzTjbRv04Tazpo9mTJShWfO0D2nzUnaPX2mEvbQpYeRL
Gz/NVkMnw86njcvoOaodRH+d4z7F7DUhr8EgzmSVfAwynsNVb28H9J1Xc8CsgiIheMW3Np192t9P
2PJ0DQH2GbGXt1zMQzwzLBb4LBEZZ0+ZP7Iv753yWw+Q9xujTDJpME3qbNAY5ZzBtMhz5n3e89qk
tHfLOpg3fpzV97aDUggADZWVrSXDTRfcNFMzf6rMpfg0C8u+8QiAj1wqrE2HNW1bcBexkg+SwX5a
uS00mjIIN57KkisgiLl10ZOMrjY4bQlgDQkECJK2NLklkufBU8atZ3UBscPMsjmJtamxfcZuyrPx
ync7hyumIjGhbt1GkJsw8xhUY31TE2t14SDBBKLmlqSbtvFziI3mzOhPZru1b6EvDmFlkAcRuCcq
hfxgmXW7k6oAxz67NQ7eTn2vSiFurTIZnuZOzscm9dsPXjugmGMt3NLuZezgz6CxnEZGSOFPeUkV
xoDfuDBrFrDGEu2xxkIQNd2QIcNZYiRJVsDXKlCoOsUXv4d80HfxfJt7hnndxTjPC7vuDq1AeT/O
eRxRM1wrBJN4iw6wVRhRBOtL1nV1s82qCW3h3HYgmnNrI1PYitC0CGXucueAP/xaSRCjxM/wGBgh
KLtFP92tOTVePtU9T64puF1mhJj4omekZLnxYoPMI7S2/zZDWN203jLsw8ZL9mMR66wrWHJdJ+WW
DGducVoYWl5y5gla31Y+jP4mHBf83LP7bDfqgJsx2fb2+rB4tn+jpPZwBkF2wLxy8Oj+R4XV7eqp
Tr61CnrswCNvautiN8kM+oSp1AVUqD7CvxmfyA69kkl7dmIXpFwcZMDIPHUZZxiLUJ0YKfxJJu7n
MGd1tS79kZRK3VVNC6s55OWcJfe2l7Xgmcd+hu5FjhPBGaFBnsEzxnCTQURoJgsznLlY1ElR/65X
LqVKHmVJmbu7pc/whAYN1nBIQioDGTuNY70tPYksvk+mFLBfHiAS2Xh2XIsjT8MPjDnutZF9X1ah
nsaN80Psr+vOWtb+JsncGr6561wz8/nYrrbcrY13lmFtRNk6QPFGULYtQje7bf3G/dKreoF9WK1f
rN4arueSBCZpTd86uG+72RXTdTBN9hYgvHPhKHY/TFX6O2Zw4opZWHtOKFXofDENB2/1icFCvGkJ
j/w8DxiYJTIoLK5xfFEaEoRrZppR3uKlnyapIqCYKY9KjdQcHHkwg/AxNOCfurlzudoU2kxsXn0x
TxsHWOONZ+VRUTtfU5JakUvI8GJJVoK0yE2j6E+Ybn2BBzC8+gRVXM1z1VPH987RJuf81GXhg0kL
09y01DIGMsYhP8HOI5hwXZ3lykEYed8U5fqh6Mziuk/Lr2xAk3JXC2iNcET0+KyKoa9W6de2LHnq
G2356k+kaW3meBj2Y0XCR2eZ3Qvli7cTiELOQ0w+CzXQ2ZaZe0uQqybricK+MJ2w3frLyp0GN/PZ
G+fxsm3ILF3JQaG9twzFbQ6d1kVMbKdf0OriF44zqfYa3ZfzHNTpy2wNa+qAIgxeAcqwcEyJa52R
gQQfSGcGNGyXQFFS9HEoJ2zHYMnHHByN5lwR3ILSktSm4DLW6suehZE0qvUktTKz0RpN+Jv5jUzQ
bcIlJsjzTczpEqCF3iebaybQNZdQQlGSvQk/K60BZZCl9aDA4d/koVTPWi2q/tSO2lpHygBv+p5q
bamvVaYdmq6jQniaawVqr7WoCB6u8g68W5OgU/VKc7pLtHYVvAYiA61nXbWy1dUaV6KyCPTSule+
2BMbv3jrh2m9NzLUscWbUPatlfG/XZ/fdH2w+Oo+3P/c9bmpuyH9PxFSiEJWWGX+zJU8vf73f/31
0r+aP4RHYA7yfAhRb0AnPRT7V/PH+cMWFqMP3CTaz6T7Qv9q/nh/6JYfhoRA94Q1B+rfzSD7D/4p
KRCC6TddJRwV/wEiyjfftWWd0HIEcCY9bg1wO/v239vAfq5YbAoUIAoWOfBGYhJ8JMcJzQcxdUTl
oOgG8xGYfuqdkIGzZ6pEFQawRnuUe2L2MrW3V1XmO55gSUuKUW3NnYa4lCZUIxuZhHTZvMR0FcDZ
WTcMw53T4IyIPRaRtS9Fg75ikhYbrTkDBrN5E48RfhVchcgCX2BwNC+NucbdbsogoWxm8BpXBDs4
n+E8WzdlWBpVRJS9523GWgTNQTCb6cAwGfolbOVLsoQlO+V2YIyAEVpQd+ntMbJldU6UGz5TdKhz
l6HxpbpiNM+T1+9uCavNa8jiXR1ceKHfv/YBu/CiKmlcWGllRLCBC2oULfBYCoUOIh9DfkYTOqBM
hEg6kqxt6xEUvfvZF0rv6I3xyC7KflpntCYVdcqxt02kPR4y6JtEtPx+AHD0IbyCt25b2WADD7Me
t2a49q8ZlQPSDgcqp+yL5sWOgVdtaADzzxz6w5dl7bqfl4TX0YHgC7jWzLedCz7NtBPxmMUaMDLa
HuJ1L1T8aifnM4PcxlWNOCwm691dJ7aVJqWoI+nCpX56Q12TXQGdtJiHSXWdxXLC/Rvmp0r6vMY3
9PHEfAVGo1QlHRWua/6fP09oQdpGt00YST+LUZ/haUG6ySnt+48eQkZ1NcPFA9CSi6zcQrXN5b2B
spbZ4JLxLvA3+TPotfqHISLHZSYsg4wKZSCdmhcHqbZvoGY8tEPpTkeql9T80Hm9Y+95yBlseef1
exqPHAlzqsLnpZjPw9q7e9yZHvLEmMbPKvrs3p+A+GEPaPGrWaV4rBwuQI2G56pF24aMnMHpHnA8
77TGgj/9VDeDUn0RvXWAUk/z+/1h4moAisqZDe3Bt3fh4tqnAP+wc134+ENQsvVcfIZA3RNPOu/Q
nxue5nQpkp05NAgg6XnCiQkVJ7hGcSLY+Sa0Y/KsAVuJ9RG0UR4WBXgwLlEG7tyWVzX4Ief4hikx
MkbXOo2d7y3XkTZJqZsdOMlwCVVzyRUTW2P/qpTDR1aggxPiSLlOFq2Aor+EMtge7FPpYrgPLK1y
GlpTHkJMsDs4mvKwTFNI/LfVvHTgU5/fLmFsQBzfvK8va32zE0DVvMTepM6zPXJIZgZ9d4o22l25
CppqqLHzPUPQ8BkqHgduqBub7Oki4IIZoa1eFuiBuQL0LTEWSN2Re3HwFtC2h9Zk4ZCWbF9Wv+uO
7GAAnnijZz06cx0/G5k5wRdHCUb8R4shtOh8bk6vXsLdKgJEH6lLsTXLkp9jSuf0J2mkJbmN+8E0
ucAMm5u8zyeOT9w5NOAEm+7F1FE1NPXtk5/W4dVcF+jYW49TCIOJS6JG2U4HDDR1gAKxT+27rJ0S
n/ZEv7CesunZmkXjHz23M/dmQVvRbYE8kVJvdOBhc36vrUii26+oytIdKbzcYUCp+EIEAKhzKeo5
PS+9aq5pboW7N+2bvXAv5yHLc8DkkmaSVfA+b5LfPAcdkQ0sGaYZW4+D24wcwdJR54YLnRZ4mrcv
uRm3x9Dqk0M8pOLRRz9/4+WAVvdBmnXrQx+GrnNUI0ukTcwp3KucK8oI0bSxRTWsR8R2a3OR1D7q
SbuioX5BHhotChMF7+iIfI2mmbNUSDSpvRQszQj0uaawHHGBL97Kae36wv1sziF3uMKc/9iOi/WY
uQDSt4DBbMLEYLPDBO7pltUVV+kMWxpolNdaNxIE/mNZWnwflMRUZVOorxyftvFy4WB4benuoblL
cgTrMnW5urVMm+lh+NxBtM0unWbsjqPl40N8u+Yd4fAic+A3003T1z96Uvj4cgqfXReS8M429bKH
pKEd7ifMIQq4dM/61vUDssfU1tdjqFt5TRuEz5DwOZF/LmlZj2lw2/gzl5Ib05UHyti3aHOYi3a7
xjKsO8fj7ipggmTsYjm8dqH2b3dcOQXO81wNikSC1u3S/dvKWtep5UGGDtpnSwIBfJ6TZMk/uLPN
OlE4epWyphmvSDq4n8OCLmk2tuW9lY4iAgf+WqUqPHWNxvoELQKczULyBQRrCL038wqiakMYG3dw
UAeNtVFpWlnprVjS5cjyY5fz1kpGSgjUqxUCfEQW4WWJNAcLhR/D6+p6GRb3a0bOnikLP4ggMyfP
PEq7YzW4JaeoMrlrclKib2ruyQ7ZYSUxBcwCwI7ddt5rXZXPdWJ1F2GsqOo3UDYUdYjdPQonODHO
5+j2XlU8Ym9sLnnGBHdk5cG3jLvJ3pMIJJGJW8MNc3ga4iPBPFOQpE/Sb100sVX8qQUihK+qverN
0I26wacjQXzCDNzLKo35OAxMvdKxuURmibLzzkzp1KBe+VDRdWmavt0bnh/eNc60yUr/HAv4IB8W
rwBgidibwI6TxQiCVRVbH4ny3na1zRFjpdmUW8bZK0FI/eDCU2qdLGpqUR4tqwVzJ50miAwnt/d5
JUAW+QSjmKOaL9wsZZJDwN5C5lTVpMt+8RAzwvQyJH74fiRyUPhpeDkAc7kNIN9d4LPkMScVUZnK
IG+7nK0nx5qgoQM9vmUTFFz4NLq2heVQlKRBvUsCOgDgNRXYo9wfLxEOEBVoJyjUIT6pzwX+0qfF
L5+czG+Lq4IG9T3ZwEQ0DP0cRHiGwn3AkOw7Sd7hlzSAUYnPVMDbxJrUur7cBt3S7YGNEHU5tdN2
YRaxK4NGpZHjEKs52n12HeDDXa45Xt5rNgQVHiYiRcEUm7tEzk9hCDo9Jyvk4MfzpylWkcs46Qsg
6+WcunSarIJQQDv3s40Y3O6eDWZK+VN5dLtK9RVy36ORATaziKa8DmS63pOp4kY1GmYM84ZziMPJ
v2pC6eyStn9swY1ltOeojHZ92dbXeMFZovKS+mRGRJhQN1yMZWddiL4zjm5YI+kPR+eqtlcz4qBV
NOBa90F5dY23rg12CI7zTcaKpYdU+R1Zr1ufqtNYc+uWhwCNVWeq9klgeKeis5f7BDOsXdnVURh9
dyCEkJp1wQOjknA8kuqDDFkuxktP7OMW60p4vWbu/SixcRObYp7zLgsQwBfDk1DCuFpKZpUbI/B5
HfNV78swFSF1iRDrxaCqFsj1UH/MNI2aQHCE21zfIn/UTqGjTyPzxvRaM+LJ6zO4dRgYu8s+q/Py
NDP5/mzk5Ufsd6i0Lb8oo6nr+j1pcE6NQWHGVbGirkOUSqecLn7E4p/g7yx4ELEPPk2V+9qkibMT
xNZEVmMWerWyTkvW2Z/jzmzabVz36iMV8Y7quqMSlGa1pUee74YWbHncsqKw8nflTtbA+Qy64kez
JzQN/92y7cWycNIKa74iTde3Ng2DuHBkIQk6jt3g0pqb88KCw150C7U4jqnsLOm4MnACDFgc/bWf
iJzLVYIlRLS4Ki2MMwQgoDtO47UjIsmOGZukBgtTJ71jQJLJs5H3IuCxFwtvI0cL0zoJk8Tetzvf
62pSrrgvJEPD54ZZz2klCGgTduTYrUDMdmMKGSbMfLn3SLd8mhMVcInbZY25SmI1mAQLaSnDr2Fo
J1e0g2/Saeg/GGk4XpZdcO3lVR/x8IofylGYONh7TTBk70LIbtsu8kPvNaN5KnOPoQDymVWMtDaz
kERee2xnelAGlVPCxi2+jYdwppqdyLRTLojeFzqzLOoxXRPa8ca8kMECvq9bSanLCJpiWFI4aJYT
hMszbAjXHO2XIC156oqRgUYUSJRre0JD3fKyNTUVgFx3WjKmWw4g2jqBNcodqUHTDgYklWxPIeJN
Ds8mYEjFcmGiID8vYrYeqUWLqGxndUfECfXZDzv+f0BevKcUsXfGreNASPACyzPfQqB/lMP5E43l
smvTI91dHpjImSBKkww1d77SzMy+eqB3GjinBTEc2xu77vOLyRHTeXQm8F7pNIfPprlQvBMMxGPa
GqiqDUlNh2KdagK4IyVArJvPnd56VqGJyB8FPpu33O/UeE3gFpaHtxpZloDvxlVvSqqlUec0lngG
pgyHn36sfJYVmPEKT1ieY/1qKMh+fTjEOw2bPhy+QKdCTCUdjfA9cie1jFYuk28c7NTllIgaLsZF
MOrKq1J8e65D5O2oDYyHSqzs5RQek89yIRjsQYXImR4Sm5QpprVYezM0mZxtR/Cn8rEW7952q7Zo
+H1zh5/nijZiIo91woY8kn4zYRSaGAiuS8mnM0tiL+mh3+9x9Njl669/7HscDT8WOxL/EX5sQgJ5
r/6awkQatoGKBqE/uv5wUWMfpV7eUOq4IWOaCjHyzlN9+7lEMnFuBzoMbcoOXNaqO5dV+5vD/57m
9nY1msyPMA/4gOve610NVwseeNofu8yg2PMMj5YsjaRnZv9Ub4GhN62zQKMBOQjj8MSuACol+UEW
8Q3MivtG75zYjvz6UNHG+lGHy/ciHBVdP30m4dNt0n//g2gUa2chwa5lx7gOuXrLurbVh9VhKvvR
Wda13TtlSNFeV1ioPKxl1Ki//gL/cK4Qplv6i+CI5FtoJd8P32BOPatexZAcXRXioMdKkjB+Ca1Y
3FhEL+BVSuIGxopMk8uhiddqByA7vkmqAaerOaJAqXM2X7/+Vv9wWEJbi/XZ3XrOT4rPyh7jOs0w
/1XYZg7YgxShw7Jm6zbRQ4oGKdggjCVkzS188+bl15/+RsT5QR2tDwYf7+n/2Kn+xP7DW5UTnLNy
TJaCjkFmtQtGOpjJJXMynLmuwWYTHfpj7sfGydK71MohfOpyctpG3DIWnXIYNPmQpMdBN5qaNqmy
76iv2OpXZGH/ebj+txP9m060ZfOM+eHc/qQ/PBJsLOWPHei/XvJXB9pyHUIF4IL7eDPwgv2QdclD
6w8chKzWLNmuRof/uwMtxB84HsCQQ/SCuAXc698daIv8AvY/2hLBwsffWP9JB5rAzB+XB1jmdLkd
tDrCg6aEFeedHBENb0FtmogH1h/tZV/LftlMFp3yaC14YDQO4IFUFt3XxocFkaa5cWbMvRwqx4CG
XMjAjYpeQZIw42LeGp4VDaHRUNhPzUtvmrwPgxHQPMZUwy3vVJNvDHT+pzqFgkBnQrDd5uoWhqnL
BMATb2yDmtDgM0iB9RgmBKzwcBu/0SOjnANO5NwSP5feqoo0dAbvw/w5TJrls2+ni2S6z2GL0mRi
Ee6IANqjxWovXLIwv4wizT4PybzcGSRDbnE1Li9Lt3YRAQi5jzxrHb5NXWKhpKFHnuCDuU9S7x4t
jJSbGmfjk9Yf/i5xxRY/nwKNzuKsmib8Og1J/XF9LFe2WUbce/ga7PDk2qO7a4SiKglrZaDEoHFO
4IEowzsSxQQhaLq1S11au5HMTXRMbM12vu9iy17HCeCxm94IsEOvlswNNsduf04XJHLsybLr0R2A
/QVaU4a4KziQcQois7fr2yDonobChs/ZzFd+MotHkYoD29fXrCVK74eb5B+Kt/Dv1QrXnYMimjOB
t8d0HMw2f//RDWSvJDab6sGpy/jF0mc/IbTuoyUcdWf4ZncaM7sjG3Uedk6KjgE2+bDue+aa12pU
5pcmtzgMoTurW/Z7+cVc2+5DvPC/WmY630RTW5f0d+fblI3Rlc1e9M4N4mdkgQJ7FqK9vJoniPeF
eZSkcRzo/hmHHF/9Vhd1u9UsuabtwZwuzdV+rbzxau6EdRzG2D0uAS0mxN/2FkR3vlPuLHaQ51Pc
m8xTwuzCcer5q0xJKCsGe/7aMDk8+UvRHbvBmjZxijSimcb9IKkZuSnzG38yuJl6dOO5/WriOARj
ENNC3+YZw+CA4XAk0b+MWyn7FmwJuCZz7VDMSXSCfoWRnn2i1/5f9s6rOW4kzaJ/aKFI2AReC+Wr
WPSiyBcERUrwNuF//R5w1LuStrcV8z4PY6JnSJYBEp+599wVFWxylUeLOdnNjKcJZtk3N2PHRKGO
aozcZELMMbnq2yJSas+oOT5lbSuuArBGN26h91c2O/N2ZRAOl2/qaE72E72/589WaNxpcTteq1bn
AzUW+eXszvvBXu5NLaVpB97wZEWq/upR7Jwtq/H8JZ/x8s/Xzm9nFv46l7gFpl2mTsNjEOH767Vj
QP8LQirdu6gV8y3chmKn6Qo95zi460Z2ns/Dl2unKec3IDrgrVryQX2YptE7XfR4qRwDXnQr6idZ
WxWjwkzsarf6MkJ1Wtedkz/mNb8l7RtGU0lPhnfGd38uA5ztggnyRtnhuEEnZdyNAqXKSjJb8adO
m65APcY+x9W07dlMLgdqmaIWq1p9Y7easYnRdvM7x368NGk5335ctlUCpYZwzemqIfH3rFfkWZOX
Jr64Wq6ePJh3T5Qp9QU5Kzm4OdCfiPDtIv5aiHRXl43GSmn0SL81uw4k1jSTA566EZkAoka0+c8f
/4dV5KfahY9/MeNJ4TrkVKGJX27tn+u5WldIThpgI01FfH2r07ZPTa3dJ7PHO9AT0gWcWmkPyRST
cmmPlVddjQ0Tzp3LgBaRGPcg8sSsDo5u2levae/g6PJYzhPWTdTyMwJK3syiPj6QO6D9wezzd2+A
apiXtdReEjTRr2+gmFNFjgV694yx92ZMdJIxqjDc1k6AF10VnDPB0rWyWeaIKSJb2zguccYiEPZJ
H5wA7EpjcjBP5as5Sv3sDOANIgMMyLbO3OAhkzUVWMR60v1T2frbwnj58EkSkWxJDekxwfzttaNl
jpvZGuy7srOBvjAwC75zNTMJauAmfdbneL5KRkXwp+yLXQvzgA1DUTgHt4r7IyQ4tneoYw+ZPYAS
kLX20Do5qAicemgt6q64nl0VnxHCjDdD7mV4ztWgvvc8JviKYuurCobuwLLBBV7GMOamA5JV7GQv
iXxLYMSMi/S2hfDzZMC22muu5h4VNNgN0QXONlMMFypCJ56BT827ZliC9ABubeZCFq7fGsb4TQ8V
55WRW8QRkEOnb2azYvZRpl91lNwsdIqa7NeqOoC4D54Lya1OTTDefNx6gaeF7yTbRv3GSfmHHUrO
4zw2xh1CHkTbeWL2PgLG6F1UhBMkIgqeufL6b1aWLyfI8tEwijwC/Z6vLHKP2OLknHwkvTIrM/L0
QVTGTBJR7cRfZJ68mSXwBcbE4yEdDAIWFomqZiFYgiKg1jbS4EsCrqH4w4VAkchV+sttCECYmgHq
Kw0t5eBvZQNndd6xHKsJZNaZlZODjJfk42zOhhFxHuRF/8d6dI7CLaVY9erAR8OQwJm0CXN1iLRa
rslzzqCvIBYFBibi1O/BYBB3GBZEN6ChxCcoxddpENkjx3/71UB29q0jd1Bbe46dS0hhLjsdor+z
KwIw7E0uxcR1YBUmHC8zC7JtphP8ABMkZ46FhmdNwJw8wL96RPmtg4AENZb5msFys3a0WzR5E/yx
TnTvLHU4ItOC+VwJwWXUZ8De3LV7mcVLybl8r2AT2idSCva2liLvH4143njm9KRXVbGGOGQSGzlF
ORHo3BBs6LhYE0NZPtF78g2Cb75u+j49lnju97OXkVmCCK/ezQgYyytjDCxoEV0afeY5EH8mDBVq
8lwNpgu3JU+eFGJ3to1p7YT7iLoFi7/JaQBEooreNaLs77R+WAocCCJH4Y48qlTurBvwduHKjLp2
gxMgF7xdXIerrFxwG2po+O9Bywh7NUVgSH2XZbq1pDUWD2HYqkMAGc1azXpifo3MAAR7iEctPWn4
2il/PAbULb3sZkYV+DXPSs7Vts7BBXKyMwAvZv0c2kN6nLgQEKIPWDI0ayKm1Yar/oVuHf78JLr5
FqZiwKBVJggVqC337RIlslJqnr8bTuoewDBpG2LcmBy4SIzZ7zfzsLFYTPuucuIIfigaq6FZJiJx
TZW5GmEutx78+JVdBYIZ65x9lxI9QFkzBLEpW5EUQAZCxJrmFynz6MbI5eDzMEBPp7xpvv14nP2n
s/1DZ7uMPuhE/n+N1edvTV4W7c+t7Y+f+UtcpX9i1PUjOgFH29K//hBXSfOTxXMK4jFIdfGvrveH
uMqyP/EPDMNdplFoqZbghx9OO8v4RMur0xtQVugCd+y/09ouY6Wfzkd6Z9A8kNFMhnI00YuN8Ocy
xdWJfWIgbu9d8rtXeQREJwlr8w/n8K/9M30L4Xq8x6WR9hA8/E5zDzrcDmYZEmGbFEBAejq8lTsG
WDxaLEQ5gPRDNtfLgA0U9B+mSMv39fNb/PjjmPYILeRjw8T421sEnYPsKXW9fYjjJt3KRgFQG3X+
7kKfS3SjfA29vCJ4qojNtZqn+NuosYHaOI1jrrNGx0zXoRLA45Kx5IU92KXA1JSbILxIMmJQ26mp
NioM56tOyeAud+jxf7qo/qYT/Ns3IUEh6LbHEN/4HQUi8O6ZeTt7e6oJYzNaBOPlGqi0WA7TY20K
SEF6ioRHy0k70MWH7ICmB7XbEsIF4YZoIwNtl3Jd5EUM8zwPDGXvptmBaK6U5SeriDzuWuRGM2BO
LWfK/8/v4bei7ON7oHrhWcwMRVJV/nqpIXTqOpZp3p6gLsyIgkxzIn0mKKx/or0ze/o/3zgtM0xx
xIk2OSi//iUbMXle6fylng3wHi0OX54DbrBpzfpW2LSJ//zOfruJPt4ZfjMQ2FzidFrLFfhTrW/o
qihyLePvhRDMOVGQMHfhn2bUf/P5YdEl3I4BsWuYvyeheA3HRUaY/L4xGD8j9f2OoZJWWLkP//x2
PqbdPx0Ky/sBKMLK4COZ4P8cCuROGPjQHHdvzDp7PUlGZeRxzUwTX9yUmzAv4VUozJNtege71T1X
QBfW1sJjjLpiPuW2Xd8209IYOL2tVpUeo5/pdSZVeGyDY5kB5YT0Pz2iOSomn40z8uEwGRhdfQAO
x8oyNrjN470yHPU0OJBG//lNmu5vESLWMlTRofWzD2LG7Nm/dWiBEWTgM5txPyQYiHI2YxCoA3WA
1phuS1aflDjld4hV2tpOaXm4eJN9lifdtterdptWTXOp0nhAEFaQH0102JNOlN/F9ibrRQ55/mQD
M20g1N7rXk4/Swy67je0Tw+GSL1tRIzwugUp+hiF6P8JM5t2abjVkz584ThL905rg0QF9LTvY4oP
w/GwvVWBgZnJAelYeJNf2jGWPsPSd5QN7kMT2MkhQWm9LvQaBh6usbeIB4+fqzQ8WNXcX1dskRf7
lLTOuVtnuz5wmKT1BqUe2iIfaVrJYJ8cg33alOnnFmdAVhdEDueTdm171fQ+TayY8fa1mzBtzZ0d
WIlaJU5EEGpaOWtNztatHZniARBm/iQJLP9eIZEfV6nw2GN7xNFTvZRIM0qK8S8SLdha5gYyUM/L
DgnEO5RqnnPtZKm7bt248FZmHg/XXVvUX4tkUV/VakM0XeJHQfpNSzX3SisybW2FcbjRZHPMmUoR
P6jXm9TwDmOvFZcyqNCnjQVQubBptBW53ztRJefl8wQDAqHO9FyN7MEBP0BuPttoJBGrRsQNIrY9
E8E2PWpZSjKAnov5oncaArypjxhp8XzxifA2d0bpuYdutszXJnDUTcLnVBxawYykloolhcU4qeKK
6DHpARkzX8u6KbdpZKCrq0Y3Xy25d484sDu/TMeBrwavJGaQcE9ywTaKzFsjyDvEHFV/aFGMQYdG
EL1qIuPdbPjOG0evbqcmu4oZbvpsvyGrhRmJhEHKRDhvO78R4oixhQo0JG828cYQH2B4FYTOSzRO
Yh8x5LoL9HnaJI3DXCwloq8o1gzFEmLoMU236MC2ZtPoZ1xA5BPZqbcqoWGByyN4tktQh7U9fhM4
ExFHFNF7el4sUTbleNLc0NulCjDnpLm4GZEC8WLGYEtApuVHqYnOhE36sgvtB7nmMQT9OHQdQn2G
xYoUOsauUUo72VjEzq2GTawZ7ekVhrBANqKky04ZMgEjkaS6xl7NN4SBpj5Nk24domLM9roZi70s
uV0cbSpxknq1MafdxhgMXLgygujbRoQbiaR4a0DZf0lQn747Uk1fzL4Zjrnr9oe0hwXEtss6N0Kr
kPPi3rID0R86nftLm8AFQXMnIG4lEql01MdAXOq1XjsohkSYr0ZtHh8tMDNbUxjRQaRhtbGw0fjJ
hPcS9UK80526OMcLTrEQMIhszBvnpOiwIsbOWB89yHC41rsJgyF+mVqJdBsk/fS9b5uhvIgpzNZB
RVEw95NYNaUB7NegtYlDnhw6HpuVITBwip6RLO+4OUoHWdmAdmNtRGI6YQVUTzPjjmuDG/UyxYIA
5DRAH4LGquy/6UkzrMkknclnTJq3SKIrcUrQnVHcFmfo/8gaBPUFTVVEbikj5A9yMPF0YuUAlubV
oV9enKAQ3EbhpHcQWOsvSWKCMxcz6w2NulCzq2mXEclzGKw63QIM6j5D788YdxFCMmuR2GcJCrAE
rAMmIsovJyuZY3gWr2syq4sZzcFRKthpKIzZdxDakq4TYvw2XtPzzlP2I55AFviBTa7bmWxU2wqv
Z1kFCgYQE2Df8DL1hGzf9rvG5JWgnhe7vm95S6xxwLuacqZxTBN7Y5JIca1zMPiYc+Nd1RrzXqCR
9z3ZBUdqFZsgSgfkmZs1Ryh+7kpnGfOdGrj/HKMZ2ZhYm47JhKsX2qBlYFbM611QaPapxdx3N/EH
WLRmPHnnQKK7tqfIfkGDAkI9gPlzJySb/SANu7tGIPJpZKR/Ea59UqlOYjWWu51KjHlYUS+aJ3uE
m1pzKOhNZ156s7a2VVSPCGoMx++zJNqWGOKRsHYPekA+2dC20P/Swd4gXrrBwkiia8oGaddU/RTt
+Phl+tZYbh2dG/RmIDknu12hzMIp2OaNWDcmWqyzF+Q2jItxUkhAWMhHl3Ewxnw+fDze/9Ow/qFh
RT6wiC7+/4b18P4alT+3qz9+4q9NrK5/EnSltGuWKRw60/9pV8mKZ99KUjttCJs4ytO/mlWPKMJl
L0dJCK2JkdD/NqtLtjPiI/awywCO9e2/06zSJvxa2YvlNxA8QbYhcgC8R7/1EKke1J0tA+cCR1I7
hEEx1qdCTvgiNRdIugyZrOapCYFCeE52P8eV7X0F1PctQtR1b8nUtH29NB9Igx+fUqnFJ9uUIzxJ
SusA8rjDUxgLi1euEUJP7R0437CGzzAM9aMo6kAjHDTOzPyUerHiGMiShLTeyIOjwEx7CxirOOTB
xLQO4bKfT3q4RmZurSEn2dsoZl69Qbh3m1Ze26wSMQTnDA/5WXVGu5ucvj4iHBveqbpfLIRk75an
xHM2lJJaJa5empz4aQzPDpBw9cozn/OHaAbIA9JoCEqeonHP+Wxt+aK0S8G+FOy47LeRcFkY+I3H
UqjxZdXpeb+1VYb3z4iH5FqLIuOpR61kdWZFzOhY+SqOBPL9BZPQ1cW6b8VTZsfe42iPEztllImV
4T2No+tsejH5gdnntyxo673VNcalyXNWkxBKfJHE8TknV/tgO1F85WnZq9fWcBeIfdrYUOhPdZ56
u6zU+q8KGcdhCuxFQqxn3/IsZuKduPq3ZdNSMytrSAI24m9dZzQbKMLjF1t3h2IVxlQ0deWGfk34
7othdETlySTisymf8jh/qjX+dFFXaEGioSdpTeOwNotyA4JK+nYl8wJnS0HlkQFK0Fdm7OX3ch4h
RMJNrg7LFflIYeJs4U9DzwVLk+7Bm9SYavDJ8Op76hUNU+5OsBud1hVo8W7lpHp4Z6V6ekMlOF8H
QyT8aAY2GeE7gmsgRpu/Qsos8xlrZyVoN9nfmvH94KjsbBN+c45wVF/BRQOnFQXDzdDUzbZQanxr
XSsrVqz/Wr9Lteq7RzhNx5CS0iaXyXDGtx3vR7Khz23gwvkZnSF8j4yMRMoKDji0yCJkrFHJk85K
tlzFrRQX6D88nxuPzrwpDFH4NfL+VeiC3jfHiYRLyLgGiRJpjYFUIP40wojw48gghUIjFXtV5oZ3
6vOcurWtLKx3PHOarTeM57jmRcnaqY4MWNRjiFk2XxFIHH0vAfpsXJfuWUIZOje29u7MNuC9KEqY
Q1CbrswGhf1qnGncTbIktjIR3hOUmnTVN/JUBZCQqMwiqCW2+No7erY1AHq8pXUws9UgFNt3+gjf
QYMzGLbG8MUrLRN5QyBJtnODbdeS0+AX6TCdSjKTW5804/LoOulQrXO2JJuJWKUbaVvlhs4E8L9D
0mQ7mqTFYC25y2Bg7mjNu8+kU5Tk3xRooZOA6a1EgXfSKjDndu65ue96vCWnxJLNYs9TJGzSi81N
P20oHRM818G0iQd3fuzHesSzUevbyBbQjb2Jr6S1gqvILZobx6GcxJDxgHTBuaNg3DeFOV8PGA6I
FpZHlKfxAG7KGA9xkOP4H5zyBjW0ttEHXY0rt3Kn+xTX01WuehQMRp28AJavEaZA9OiGZji4UxwF
h0J48n5MasNHHU7idyWuMKPD1SiHWwq25jwlVeJzeIqL6vi6Yf9EfpHHJodC7a1DcxCHudbfAXA5
l8qqi4Oh98YhVx2CYoY0OGgqA6lLEO4aUI3rIK7Qw1YTCVGG2d5DXpi+5aKq/FmTE7UmLns51Tma
FR20DCuQyNdjO93JbqQyDjjIhTG3pzjqxsciE9a2roqQHUbvXImx0BhYcBB5JKuuAyIGns1ySRgn
VcrXxowIWaudNCAqtvPMQ3DeW56nUerS04xDhEvNsbrvSaCVFwsN8Z2qUfFUxIoylBev4ZyHm1rP
srVR9j0IUaWx6mO79MwerD03eXanQCUdI4/WlAaqOhE60N7MBWgAHCLzjdBj71pFTbrsBYN5Y4VO
s8st8BLY1t21St0es1lkfQsX3Msgx7cOvI6fcmZm1HxDxGTB1s6RBhylrOzhqSK+ysf3Nt+BGPVg
FpXOM5GH3BumUyFeR7GN9GW8KpCUc2CFAyig2HpJsx68vKzjix4UxW4Wpf465KEFfGl+hCkQ+MYw
GXu7d6p8JbTAvo9jfcQfMrsHNqF3OCYOVA8sshpTdzapmPiCC8P21jLubweUsU/aaJN8SBg90vIi
ukkyNRUrrQ6HzyJ0aG7MWh5DjL4uJ2jg7Tk3Mbi14qykZt7Nc3eDpJbZRkayD/krqW9z7bFGN/Il
QmjFLcGezdMJ95jD6EBXf5eClAKggUV2ZZrEb1tF6GItcTrMCm22IbQn94UbnGGVprvSUR2ro4Ru
ciYEYqiYsnJDRdsuZ4EXth32jDEjnsoNchZEDcf3EAyvUSyqndYL5zT3Sr7hIsi+NqrSLrZqbpWZ
2/eEkD2KyYLz6QU1NARTHppWm3duJ7vFY9I/qjzqjraTvyZz0h6ihHzCOo0X0CvgrG7OCDUatVAd
caZ10N5C606FRXkzswBcE5NkY+lJbgm8MJ6JJxkotXHxspgM+ic9jrV9Nvc2A484ORqxTXWfYBwz
SG9wrM+jNlgrQarXJi5M2vewzx6QoVY77FL1NYEC2LhURbxTHXxzIYf5YJ1o8JWH0xkcyV4hHj9H
ljWcKjsNvyAcx9Wm+nJdzaRLWI49fycI7iFimuAjepb3acBLaPW09Xl908pJzKueU3VTRfoLuega
WDCLeKCqPDPynEjWGHFn69ZjVqdQ00jR2Vha0+/ihrjheEyDl6abxp01xs0L6AK4Fh4C9bI3+oMc
mNjRM70MOucK7Z6+DTEGkDGfs5SLXrXOBmU2Qa2VbjIfPW9ayTTMTmN7kqVj4aIs8/5Cfx4u2byk
JgiZPSaaU9xTVKWnonZ51Ns6G7x4SN3kerGU7uCwVhd62m3umNXORf9yReIPAXmjre1Q1OZbERnh
WbI63DRG0u1DfIjgewi2usEjOh4iK4PFhDB9TYdtg+QbXpTOWUsWk13thkGfryvQcH5qY+Ap56bY
2jjNXjs3cBeFLKlAQaocG596WBcrBygau4B5fCvSqHpBF+sLytzXPPSCNS/kO4aZepsALyn9qdCa
w6SE6+dJqu3RsKSOL+s0T1a6lRZXeKyAtKWWsxn6nO25ZoXvJKUYEP3ngUeaA8ydJQZGzzS5pu5l
+yCyLeNk/GBBxRN0CPTjzDkA/IhqM2JMuw9MTXx3iexctXS/q66FdVY6bbjBgIjddOpwymfprU2W
GIYuMcGDCdTCAzRgyfNVv0AcDffMkoKNLLpKrWCTIShSyN0Bmal1PWSAqWoZyC91JPB66dh/yJ0T
t7LigYQ9O0wu+tDqb2Mls2tiDzkQeoN1T5Aa26CYiUa8Z2HVJbCAezcq32IcRiAR8yLz8gc5YnGz
joHtxumpHV2vfMDtxqdG9MKoaUhCCipl5hQkqjEmy3TZ+wWA/DURZqlcT8x/11obJMtYaRq/VURj
vQ/gEFbUCPYXfqZ80Ujq2k5GXx2gC40NNkmyw4Vy42PXu/VVXfH/LpVTPpvceWaKV42/SJ6kB9Wk
gxuzi4EUl9hhxgLhh9Cvynh0Dw65KdzBbB4vsnMe5gj/SQ0K793KKhWsZjlXJzDFwwY8WHPX5CwG
EydvQM5V+a0YmEYwIp9wE0dDt7cyhpGcBtOaqo+hqkUJYwxqEUnEDLObzNqQvGGcRKHI/hBIN2Nb
wNZF57K2HdYKOPT5eyKtShjNvfWkCHlArBFXUKuUrhmrWmSpL/jkMGqjqI2zdnoe7OA6THDjrETm
jfeQ9cJ1n+A29dtuFlfY4A0/aZVi/MDIaaVs1+lIe6iQffEUxnsC8IxYENQeK1UV+XHMk+QhdLP2
uaX0pGdS/YWVWHif27NiTcaHHeRRstM8huQ4OHJQyAGuYYbZI2qarhLYvlR9HwS5aNcx8vldB23v
gJqquGtDj5jAWq8/N1GDjLNySRUsw89BLsXZMhBpwHUT2h4HCTJjnDSMEntxkqwn71kUqGIdBFUh
r4jasG6LqH6Vc8MwuZpHrILMw2bfJZMw9uM5tAY+kMC5TrMpe0oYdT+6yRDsEA3qISI83djRCrWP
UF2G957kPr8ig4awibBa84qKbdIk3IQI0uZVwyIC0FdNehOrtNpYA9UevmJPJ2um1FjvNOU43dTS
TaN1gTXurgmZkIp6RuNERpWxUa6mbwxJACp4zfgQzXNyJv05PuRAPy6ksdDAjg4Xk9C+Zm45sxAB
/7RydFYAi2Ww3Ag7nZ5Sjgrm7/0g/DmRM6PWEvQYcfS71uizu2Kpk8yZ6wrtV7vSa0EwPAsZv6Ly
RTjolfuCeS7hRWw36D+XQla3m7NtUlzHhVgySWYgplM9yMWamOT1l7Id3PxaTxNlEh3o0IzVOk8B
gt3Q8/gdSzA8voxE5ndtKsRwo3sg4xzoFfzCXpueWgzg48M8aNAgV1pLw9vedEKht9t0HYspvMtm
Mw4nPpLGJcgwrCM4lEovgbf9V271KrJgDF7mcNwFmqwfICmMn38a//zNaln/bTnPYhyxKHtSeFGo
6+1Fyf/z9rKqRwgYpj5cgOvba9zy0Uo3er6R/KAROhuEL0Zu7vrEOJqpvdWsZmtH+saVwVXVIfIs
2w1vdefNCTF6/+bO+F+vjVUxXi02x0j5fn1tud7XhQiM4VJVzUVW1IrBPu7/JJX9bai0fABghjHe
AHkS8vcPwE7akaa3Hy6xAbqefzlati1k+S9F5X9Gkn8cSbrgoP9pJFm8x6+/AooQvSw/82Mo6Vqf
JOq9j6B4RpOS0eNffCL3EwwyWO2mKV2kJcZPU0n9k7Q9yRZb2lw+qGj+Zyppyk+S/2H5MQ9IEVf+
vzOV5EL59QIiA2OBHS28apPJGmv4X6/SzlBRPAN6WWLJxjX5idmrnaC+JgVLGGThwpqEHqEmNNYd
Qjc/DdFJOwQvXc1OYI2+TszFhqSn/l0ymruegbG+eCIh9Sz0UgLE+Kl8PZZBC15uLl5yG6G8IEzi
uokHB65035hXzAzRcOMnpKxVXuaAyHXvJRE7d1gw+2vRv+ZlwxpQRSx1oV0+l2ncayyIMhSmqajG
V+aB+Uh0g4YuUQPDE6xHjzMVeT+hApvKqdOvkZbyoDWbHNPmxDR/gwMlhg1aj3BaMq+7WijW5pb4
npl6szFciP2lK00fz0ZCJrKbmLsa4QmjuSiIzmYie3dDOnkMrLnIHJMxUlq+VZhsnktU65dOTVi2
zUydQk8Nb/Q4xTMSXJKKoCJMJwru+naqkvAVE4ZBArhRklvPfr7LKzbZKKzH2B0uM7FvN5zyJXRq
d6yRC+aDJOgmTi+umY+3JCvM22pq15MqD8jsCO0jdMTviw5/gTXtBiOWNzBt4QEkZv42qowR4Zi7
N46tU4+1SXtvTshYY6XUBv28uQ/mSmdlrtGr2C1UlWSau5M7DnFwmNlIHvs5I8JJhKQWUgTV8uyK
3Cj8Rpuyz2ZedfeEajAf7nRibUnf1r/EMg2+tBqNQTXY5P4VnnYeZhCFWBmcVQmz1B/GYD7Pod49
ZelU1f4S23wegqY+UWL33z3GeoSET62WrlVGb9VbRbapGGclOCw9mgTm//1Vpo2NvvJI7nqtPxh+
pNzZuzDOeaQZbFpfEqSd2RJTVVertDbDm8L1Cn2PvCS+i6rUfDLCPL71Zpu/hrWluddZOG+7OrJO
upH0Ag52Ge01swW8NwG3NNq+Zr+t93dhlBOlDsHoWSvC5miK3PvGKEo2W0cwgGBZNrjxZqhr785L
nHlgJhCW2pckNJ2byMI5zGINSPvKU3P6ZlWl6a06VsubUMz52sPRw3gYaSjfYwqGVUU3ckzUldKn
6CjRI3sbvRyYzQaFxRxsCvM1l2v54Jq1WHJpS/ifNf+7XobWFQSUrtzwmK8uCQ+KmEiPnLv8y1jo
iUVEXuh5Fh/PSIkEZLePBf9RFnrYtivUVlPiMAyCmZSdC8FcCh8JJPMZkCQj1qAn9PBuGnpzOkZ2
lOzrwbnR3YQNriVn3zSJUCTgzrsfUWD3GzV22XMQ0LTqWdBna9mxM/DTyiiZwyn7vusgI62mWG/9
1ppq6KyxuFhVPp5bBvI7GA42ogcFZjjFvuwFfbpxTSZ5DffLXaCY8q5i1hyPYzCY+dnpWpHcyBjO
sLdGTtKJe2tWyO0zcj0L+2LotbYfuuazlUXDrYbojqj2xhwOZtMf+7Bwrkoe5Lu8TeFdjtm8q7p8
uq1L18DIBN0BIWLI6FFlt0NjMlgdktG34KJtA9PLNhLf3dpkgUoUI6CYOrrk0Fi6HH6LaONznxwp
oPlNplbvOhnUGy82nh2K1ZWdaMckMVBdIBzGW6b4NdoAmUZZnyN2YYeA3YKv87FsiQdR17Gwnr2u
Ctdw+BkjDL12lcx6QJfOaT114qnQ24ouAlZqOr03qj9B6sr8oBWnJDbayQdRBzZJRY+jCXSZlLPP
rpzkAWDIG+jaDBOtcSemxgOaSeKP2Vw7Q5LctHXxhcKXtmk6SbDrW1BC931s5vDKZOsPYmLkNqT9
2iiyHg3JWIG2iGBwMkfL6BRUTR5g5FzVzFaPjalObRKE24mEkZ1h9myh1MR40TKkWEsYescmlFbM
26vmZ5oLdeWNg7V1Bqx9XEYnh2/7LMIGQYXWFXeCfO2dZhfaYp3haqL4vkxNkMCzKbFruWSl39bT
5N1RgtMIMKLLblNtHEidbd5lGYljGof6ac69eqMpymrCnEd9OWbBksN2m8IHCalyjT2UXJ3RZj9P
3jnJ1uF0IQudkXCvN48z223gJEzRDC++tRut5pYAy4E6XV3yJs19Rq35fZ8Fwa1NNvmKfRQg11JM
ayK5Tl4ghnVKWtZrNgavkRL1rQHg6MYYvfEUN8q8c8j1vicNL/db0zkqVkMAQbl0Ek082QqFiK3x
b1EykvHj8EqNVL4NY6/uXHTs/tyN0xaLpLftBpl9x6FdXNB6q27GGddaaP2bTlkXzhjtnLSxpKeN
8vqOHIFsXZMReDIl0BQ7MKqdN6rozcoy7i2G78rHC33HRZhdvFJkN6SL0iAVjtzEzqzYL4obCe15
3RoJnq7ZNG8ytLhrrZuqa3vQX+y+cZhPa+k9RnZwTq00nlpa9K0ajFTnyohAn1AXOD774mI7xQYi
KXvJz60aVhi94x1tNUxgyePx4LQ8Isd0dg5apjv6+qP4+0+d/Mc6meShf6yTy+H11839xw/8KJI9
8ekD9/CXXPxHhew5nxhS0iqjJPek8WHU/mtvb36yKRPBBJsuxD13yY37S2ROnAsYKBwzbPOX/CXn
36qQTZzYPytyhUf4kGU6qFY9YUjzg1Lyk0J2ytu2L2RMinKdowRLFIHnqZHejShy3nM8/geIvZYk
I8AOQ87UIL2YZt48J4mjOGil0m70UELcjaqpv7HMNvicztzepzoex7cIckN4KGuT3Mug4Pz3iSiF
Za0H3iYYM/kZJcpw2zWVyaxiyjPizBM3e+/7yT73ded+jiBvN0SpNqz/W1c3JmYgjABxpR4ij4kF
o/Vs89/sncly3EjWpV+lrfcow+QY2qw3MUeQwZkSpQ2MpETMswNw+NP3B2ZmmUTVr7TsdW2yKi2l
QAABOPzee853MgyjDHWrUGB3Kx3vG8CV4ntl+scY6OMVarrxs0xb9y6PjEFvhrGJ3iQ4tevYGM85
reYKgFeafdGR0z67eDM/q7gl4HLukzeiNZDukGGNKKpT/k3D4JUt/+wgI8RFedY+OlJGKi6B2qVh
3NYV4VErfyzjq9GwyYtzG4YDcR8AD8Is6V5i4s5JOWPBIGRsos2tm7g6FF7Ub2HxJ1+s2SGEwAnK
YN/7wiGbFdX6/WwlyTU7hqOoCZ87pBOEI1CAwUmQo7k3a9U4G4268r5MYvTAsFMKfzXjviHxlRha
cuSZ3CN5cOvw27yo0NeYgH2m3sU4XPAekGs7ytHPR3m2pedG8Lxd16DOWxVeLGYfXtS8ymApN8GV
y36dF//oD3ejX7aHGOvNgczpniokCuQ6TPHsQO7ymvu2mOTJ8gNjXZMbewvCg1gEo6mKa4uWr0lQ
q86uMY7WoLmZszwVAykA3uDK4AJhKs2eREMm5H3uh2w7vUiS/zxl24JU0WvGYx3hymmLxcsD5ORO
inE5Dk15klnpQOhKVHwTyOat51OGgyl1m24MckDeCAgu3BVhPdDZUlfL16pj23HAhlh8igaVHfHM
tlvsoBmkk8obnxtcHzfe1I2buqnELjSczqfkaJ2dVQNJWqnUmq617OPsU2vCyRxvtRGkgNQtjalp
71tjejfNfnLDGH62im/8uvjQ1gl2SK4tXjN64Ze4MueaiBkPFN1V3DOmLa2atporR5qpEx7I2bIf
44BjQNTfZIW+d3u4HwAzLKwEljVWh6iylsCHqFxVPKHrMbT90yzdfEeQb8nj7XRr/OHgQ/Np5VcW
ou6Q2XkPQ27dSivagYQDu+SjOSRTAwB17JQbhH4XtgzpTJuWD2LSvaNbcygmU1zqxo2wWnUmWsFq
Pniq5boPBG4jIXDnaFMFHXegW7XmlSHq2dv0/QB6rIuYDWVanuxyAWtlbMAcFU6XA4Htmwndyb4V
wyBRLej2wuvb4cQkprybrcqtVmntib2XVWiAwv5WJzyYOZJ74N+PYBZWHvTPb0FXu5vMQxVZp1n/
YAx2cYWt0F/3VQsRTwnrHnItq1bAnIC6hGhGExQx6Qj02LIphh1k06kch/yG4dCn0O2Kdax5sI3a
OWQyvvOYjxK5YmXriCyDdYaKXqyoP/EAaI+RZu4tV7ueHrCBJxtznMMj6lZN4KLHDNrO7DsYWf2G
5SnfUjSIIxqGcuuh1FKr2O2Hs2Cfum0VkuuZ/vZnp3Bd/Joi2yQ5+w7VJNRGg/Qf6LEMF83kFYpF
qmdNYZvCWpmKyHg1yUKmyZHH+trMeXrJr8hu9MjaiLA1ONSQGw6DEWaXk2XAao77WO0iW5OAiLZ1
PeESXzMgaK/KgWAfvyuDi7yzn2FukGQVQ3BXUQkqKWzlFrUCml2Hi3JL4DQtE+1UlIxxwdW2nYwH
lU1Y+JrCVuSaOyPJBqmSCpm4gZoWSP511ge0u028ymOVawoR29yaARbIzPWHXdcH5RPVSHCTyBgv
fMzP/5Sh3LLFwCA3V9U1fql0Mxex+YAqpwAX6MovvhW7936rqtsWeNJ2pvO8K5C/nEctg2Nmuj2R
NXQ2toiTCxbdJB3uU9dBYZL0zjMErvngOO10qey2OgNm66GvC+u670W+VpJ+Rl9O831slV6APshK
ryQK5EuQZeNlL2iImgn0SbDTOTOXgCWziK+tEFp2Ck8TlcuA0DQfA5+IMScmkBP7MLbJRJ8AvCa7
kpYRjc8iekyY3yX45kX/le0fae3aGNNLe8x7TBhRi+jUUi+oyPM1VmP94IwOUfdR5neEAqRA9/y2
f2SIb19qpEqXeqrJXSg8M+N+a5M74Q3WPfozm1CwrCEiraVMInYi+dy0TU/sigfZpK9pmrEwtQfe
6OoZ5mvx4CQubBPwFGrLzJz5j+1qIrgGeSI2+lYO5DVQnzuWlE9m6y2b25kSJjefZvLcqgN6mC79
DGVgySmStTfwJspN5rS6Tpj8gTgqtwNy683sjIrgKVPpb4EcvW2Uz5TBGMn9VYJaciQQY4pWcTIP
+8ksHyaFfTjNoe5yk0ZHfspiQwR3cessnSRR+achNhpsIV36h9vov/vjv9sf09FEjfo/S1svnqv+
uf9ph/zHX/lrh+xCrEdLh2JqSTC1LXapf+6SLdP+F1ZKm+0u3Vz3nRjw1y4Zjemfu2LHQ82KVpIx
k7Pg9BDH/gOuPU3oX3bFIS2wAB2MwNHleR/UrG0kgyKLlXdR2k2A1Jz0RcLorImHYz30kE9bhJ06
oiuUl04dXdXVzCu4E6ZB50BL7sr7AvGRUZ763mOOtMVY0LnRIYi4o+mbLtYrcKe6ucoTZLv+ruzG
0p2uJEHt2OBn22d3QLYRk/YduvrSuwSc1b/m8XRL+ocfrS3b8Ndu4vm7AjEUCYttjJFAz/dGoLFH
Yx1IicZAa2O2q0WlqPe21ZGkWCmrEOusNyki/Y6AuUPRBkN7gyI1v+/aKPzSF9qhaueliyWqG7Pm
wqu6hIbyHD4ZjufWHALe8lYBV0BKTzsfzsxclWjk0+A6byvvS0urlnFVPX1lWMwbh5p2hyWCuTDD
1aUrbqMHq53ECJBoYdTIdYm9CNXUV68X7ZPdO7SLrRoCJb6d10LNV4HZQb0dc4Ij+Ud0HgfPuU4F
nhEstNZWZk64VvQl+TNO2N5iZk3wXM+zuZET+VIrNuEhLp6hZkl0I29eTZYYF3ZaeTNAMf+Ehz06
2t087bX259uwt+cTL8alI52ycV1FLNiHpMjSb9wP4jbLUZQCTreNa4QzwV4JD7JDrSzaurJ6SLTP
FjwY6htesf56ZAbMfjiQ9tkVo/3ZgMVERA3G2+vajYdN2LBdLn3fX3IMNDwbMY+bdHCHLVD2YQsL
Ah0EiuGdM2HTg6Km0IJErf5qzGWzC9LC2DP81UcXr/0r7Wr/mKBIudegyK8Go60vayMeyr2rjfla
Ddojun6nRldigcfn+cf/0vdzx+RsiGW+vU7N8j18aAzdqjtlTR9PFUDufirqjS+jFpYnXQgaK6h8
GblOwBf0FhSFZb7+t+NQyVTOf7eihsQC/25FvazxTf0ym/vjb/01mwv+xUpIRjtNhPdGAWO7v1oP
LlYChqrM1zzLIbqD//Tnouo4/zIxtyPCB+0HomUhX/25yNp8IFxOlKVAi0zTCf/RIussE+IfvKwW
Dk+XtgOtEaaAPnXqz7M5aLbTQBhXdxRVRNBrlhnWnZm0mgyltNnVbRYgV2pgd/SGHz0A8kL8VFbR
yejS6NQzF6AnAbymhjy9xxE0ru3RKuhXBrnxEDRlv/GTRtBENWW4tmgLXlsVpKdsISGpJC4+uYDJ
ts1ClGG+EVHcuMhdyCocidikTLJis5sg0Bj6ULcU1kM1qL8Zb394y3AFFjgexiUbNQU+jA/z/YwS
fKxHSDBMdrCBE6K3j2dMibaUy3nxvX+4Rf6DoOCDT/n9eLzXyBbkbepbH83+cPZNFed5c5wM+D8q
Ll6WmmYhc/25E3pV/yf+zqoFMLWu/lc1lDd1Wsn+//7vD3PX5Ug+8TQ+b2QRWryTf/5tNZtC3ePv
p3nU9hs7y1BaAYXcYzxI75Fvufs5yaK7f3x6BFz4Ji9tkO0oJ34+aGbaDDwqXGiDl6BAN5b+ck/T
S2wGJVDw//OjCdAJ4GoDNBAfrexxGExpVWZodc1J5OeKhIUdagX6AEMRPvz+WNYHR/RyPVGVcRCg
cyEGoA9zbIXsMcFikh7bRBUU0EnEprZtyxr6ORSEBH/J9dANvH9A6hzQo8pmS/hq/4/PeaGX4Xkw
/cX54H/4WQur9+dycDKCeAlJ2ah+7okRjaKH0GuY3/z+pH+9hxB/vKM2BJ1OdoA//5xdGxaO7Lzs
2Fha39Yw6zbS4AluGGYm6CBTimG/Invxb47761Mi8NdbJM17xPJ4H8EbOWb3NPaa7FhN7UgaGL/m
5AzTtKpSFMa/P8cPx3IhV9IrCXH08/NakAR/Pkc3NSZrTML0mILqZ7YCV3XVmN18EeOLfPz9sT6s
t+/HAlDBpURO5Ip3pusPnd6slB6MQO4hPevJ2tSRX56K1Bn/nBL8j8/+h47yH8dhF76ArZfb1f75
nAav6DuvVilSbTFmGzRMnJQ7V9S2oyPukzTFN6uY2yKpQ+dHGGgZJ+ffn+uHe2f5DnTkWOgWqDQe
tw/3zjhbedqScXqMxp6NsQXlZBVrA0O1M5enOg7Ehn35/Dfr+a9YXECkLEGozRYQhLkIW34UbI2x
N9YYQBHSBZHzuUOReYK3PF817Ef3ndOQlIo7WsE9m1Xsr0GRzeNx8ir1jYZ1C6OU3vKJ3F7mmUvt
QLAQ/9CZcfv7q/Ofvqfgh2FvzO4Acc6Hy5MLJ5q0bxgH+HLeyzwPbochqEBGERXe5LExzhrax5nh
+1ujnvIzklukeA7hhEcQK+5FKMPoiITDuQoNr/d3uHjqjMD20B/3v/+uv961gcnVpLYT7Eh+qcTM
kPC9vphQJIYmSZB5HKic/NVebn9/nF+fRDRm/GSglAP++fHdmBpw9iKjT49g2PVtmC7kNPK7xAV7
dXH/+2N9XM65PQPET4H9Dj8Lwo9myTnoRe+qjOWcoNBNHETjkukzrBEOYBe3F46gwvJkDcr/Au8l
3qtayL+5sACJlifxhx3Y8jUcylxwvGwK+Dof3ipF1xg2T0Z08Acc5ke/sFlMZaic5hgPjb6l3DNf
xEKETFFVUws1SRbz//MOA0gJTJDMzegUAo+5ofEFE7Fvs6Zbt9gXMceQZ3Eukp6RDsrUO1040dvI
hP1TMBf6zESHzMqw7bylP5fTCMYNPXYmCy49NfuOgE/vnlAk8wCE3LpMKpCKG6yWBi6kSd/OceQM
q6JKxmsMzPK5iIhC16DtzxTnqKRCVUVvwANFc6rKli5lxczngMLH7XeZnyyoSR9PPe3c3DVXVUsa
XBJG1itbHudxYuTTrhRkdtwtANTeilG606bEV0ZgR5AlZ4QtJfm2LC1WN6YvQ8LiXfexeEP2Etjo
O9g2rqvIxPg4pWE84Cnw3P3kmmyGKl/13wIf8W2Vtf6XoJ264I5GMvcbT3+ck1cQcnjUGMZtYPes
nWY/+F808gMizsL47C9/txc1X2MW2C3adIJ951MGPoS1M595zxSf2naert8vb+SBoLWrxLxtnDYB
FKf9IjkCO/Ock22WyTmHsYTNBQxvs/XfV6vBmi86qVmhAksZX6saLv26NhXwtaKw9GFIG67djKge
YKBpJg+4O9zPQ2diYrRjs7pxcttfOrd8zpSkydmTKDbQQKQvnRniC426bo4RpgJvXtHxEfdIhZzH
oMJqvzJsrm0Jn/WliEt7Z9HJf87EkmzHQwPsJUpLfSsmABt4+zt1Q+iLuk5nqteN71rp18KTLE2M
4z9Zs+kWW2e5D0sivQgToLNP+Fcg041WFhsYq4TWRIYv95IPw+kcTzNm44jSC2d8P4KEFQYprLpk
nzMkPY3njBPoV2B9odr13GBbpCTNczJBM6pVwN1LHqvCg8/c8jBgdrtCiWA8eExVFlWZO59jo8hO
eVBsQ43ei6aQuiagod3JzLcO8YTjsoWCDoij7qDgJenRDLrqYorpBzFWSzee3Ztny6n0aWhN74Ak
M3qIpb+t3UUY5lX5eeZo6ygS/nWp/T05WzSCiK/em2lGVAZatxXeOEaGM5O4nCha01B6bVPzrS06
PbtQobBwuwpBP1fV/hSm43UakxmXWZBxEkZeDC1rvGAOowUDCRPRvuEKf292AgvTgQvJi808Lg7m
JWteCvdLB2TljPjsuluoKLRO1GacA5LziKnciTZ99CIIHHPf2BcFCkJzyOExyGra5yFR1LmG+Jxo
06NRQnByGiZ3fTK/hI393AxGv81IWN/MHpMhGznn0TCDp3aRd9AKaor1rOCORENjfy0d96SdAMiZ
nV4lXorcxPUexjG6qCs/fpK0z7aJO6tTUpQswO6yRyrt+cpLHeeMiqi9tdKiPxkjni6tvcvcb+cA
YEIJSyTESdfacf+d6V9zmK0ayy/RDlG7gjaSnazara1VZMT+5SAKvlBd4PFfjbOtH4UmZ1BNBcYx
OWLSZY7XXrNRcpPN5LFe5D7kSuil8SOyyel+rsn/wVCCqXpFOu98zjEqb6OSTqCbY0zPyrQjO9nD
qNSGJQdlF33uYvMuENN050/zvHX0AKuG9w8Tq7rBg5s2bXnTS0RsPk9acXQNerQrO69xps/sRfJA
8S6svH7t4S1mKaomhlQRbwQ/Dv1Dk1H60K7KNyXbvF2oTXc/TKPbrDvYJte9KT/5QOQ21oRA3G11
kK1jxKfZRoI4zXYis5mVNX2+q7Jc3BBN1e88f4g/yyyeLpxBbWQaTacMEy16PByTX8kkxAMjKrtP
1yPr5LEKu+TEoAYFnj0F/UGPJTdmxt6BEqEwbou587fl3GHpYGYEt2X8MrhV8CZdxbjTqyystqXw
P6tJh3pvitRASzYxd64H9mOgDA6N1uGVMlrvtsMUuYaI06wN2foHKugQDrVly1VjDd33xg6CbTNl
86mVztkvXfMcRvCl1mQqXJIGU7GFqXxUcEV4W0QtRObIiRyK/yxxaVN08FkIgl5bsghP/KioCQWS
BV7CDM4xsruvSpv9rY/i9Kjaqt8ENbaPwOMWYCSKnjCKxX7ykcl7zEq26DJdAun7+gbspoM8z8qO
UdbaC2M33TjluG5J5dyPQnBjh9WZxAci3svQvonbApR66zuXYYwgtGugNESitTZlMNV7ADPNrtB9
8DwQ475moWnXYz+lzjqQdYfVE8fVPhkrG63tZOH66iPi2kzlXA1mUF8Tx8q2P8T4SsKikVXbOTdq
F5nwWICVqfwvgjT2B04tvmDgFtSYa9ziOBvh/F1Sjl8i/xhohBtYt2Drjv0aPS/vdNIvu3VVj+KK
in3JHKelGo1WfSqsGVDpKJvzlJUFGg4hr4NeqYPT9gno6jA4lEp3xynAijxi4L6oidQ4ZwO9XTce
y5clXxrLbBO2n12kIDvPy/K3UJSYmRq/qY/I8OglwQn45PfN15KP3nZt7QKYERqzWh/p8dls3AwV
qdGDx2jwjfJyJSm+TSrsLRkqZNyWhNjX2ZZfPN3mpf06GSHmaWw0yC9Cp99WZPKd/XCoX3yrGjHQ
Z8YmCHkHtomj97Ng4A6MXd5Y5ti/ZF3Omg2VtMSFHHZ5LNeji1tQPAK+qvz+FXFSgLXUrVTylhgo
UCWZsCTwubKiTJLGG6GU1VmJxr5KJzE8GnE0vrhdGnyJh7CrVovUudgo7MWC1x7iHR/Ie1VWB8Nz
55NtZ2G8Lb0RWBWDUTMvMbEHIwLtrM2gGky5tWYXFV/N9uxvZNHS1bDbCH0LTEi+lVQHt8rMszul
BQqEiXcGknbS4Yth8Dx2l3WyRGi16mBFi8akQ5y9ka5ds5zNmMIInLJhIcAwP4pQ8Rqx6A5xXxbA
yeJek6YFkHUX5phkGl4Ke8ds5KnR6fDaUBtRYaD7q0AnvLVdkH6N7OVWpqNknhO/sYFS2ODpPNMh
RU7YzrNhNwZI2WG6jALkkqLSGTQTPla5Kny0iDtf2YPovkaNm7KdNAGP9ekjG2PivyMP6XXe3nnO
J0CVSJE0y2tURNxU5SdTVOQg45T2R6i8mV/pNXOrHb18zFQVg1pUDHCr2JzAE0nwB1UghwJqbOan
S7ygSl/ywk4qYv5sAo4TWfOqXAyZhr0bvOm7REa7p5Z3121nh7scTdo6L72T3ZfwWNIR/J4YdvDB
4jUzcmPjR9zOZqasi1mU+Ocs5Et8cFIPwd6e23xVlnOxxwmg7lsPCIA9BPE5q8Y3owEr12p4Ht44
2qeUxu62p5t1SokPInKQ9oCtRqQ8TTfsG8j4L7lEzUCNz1uHjdAJXbeLfyIlXnOSiGWkyi5zS+1z
DM8reEhqTVHtMe9R1xNMV4I2lHcQHT5YsxwDShNA+bjseUHU0Y2yenMlgcvtAtl/l51Rbxuj1tC9
CI0s2/BrNxvlrpsbj0gfegc6No9o7G9RsD2nnruryRtgnxJeIeU+lUb7ZSr19QCqmzn2I3EJZ5Zc
GkZM3y+8Tr8RIPsJ2Oudb1f7ht30Gljec2imjJvI0iPvFxSOMPu17pZxkGGJR4LDu61Z2y8qtNhY
EUGyCRL7WODh3YS2ucvIkVSJT7hk7L2WI25vu6SrjQaWiiCehuGzdvSrwsnn4fPbtQCnp/UczvFn
uOExzsEuyE9u1+B+mWckNakDfWw7tumTGlV/GGRCrOyjGYzDQxu0pKX16T2pjQmBfWEOaH0cngy7
C7YKq+JhpIa5HIbOOHQgKXjMZ/MknNR/8npw1WnZemASEoDtaevRHp2ypZwgel7ta5QnWzPt8oUG
7elLOQqj2yWlugNeH35DCjUbJ6MpaOis8rAPzL092pNzIYMSrAoSXWBkhd0tn2e3efaMYg864Azu
Uh5jNCQhSXDgIFd0NV1MvGaGdxtDMjqxnP3QwXcG37iS6GjSTW/UGSmGIU1Tr58oOQEJrbvBjr4E
cR4RTeTxAHJURgyg9ihEyBggfdkOasqimNt+2NQsL/SZlpkGirboy0Di4jYyWmqM2hYI0DWkft5x
n4I2ms8GsAoCMDA7yrn1zKvMEOm4lQsiuhx8lqWpz5w1vB2qE8g/4/dMEweSebN1aVq53llxB7U/
h84dlwZN7hgA1Z3VC4mso6MSifVovoDV8MRZJuNS8oaynteJaPrPLUidTVAYnrlvLAD07O35aKzz
Bt4JCvSNmGOiZ0ipvTExMn31CrIf047t38pNmhvRYWhCbnasmjhba175RzvveZH2TnRyEkFTgDHy
GX4CPYJlUvN+vLFxje1ce90x8sikoE5AuQjA/On9j0BhQXnvUfa/x4P4QuiDDSf/uS8lNZjqbLoE
gTNdTzDcNgbFJrMeXXn3Yc7FZLIsYAjJdvfeKAbzwxhF1cFmyOkbF2XaYCBMkxB3MF+xTKCHe1pW
e68U/ec6lZxAmvGJrCP6tqfxciPSwnoqB5NfvcrJc4km1R07UambHCja7h1yB6GQOJdmniXUHc7L
LemFN4Kyrx2TBh75nLV7tmrU9sNQ+N1mzKMpx95OV4TmJYsBdl9IRogGancU7TGPzLLk/gfcfxnW
cfNM8y/dm3lGRzHQF2HXAT+1ipCwA94d2CuqWNc7mU+TS3SqNK+ENYmLOoOu12tB8yrS+en9vjMI
BNiNGb+Ao3E2IF7Xt4nsUYWNGOH5fgmiWKOiu4Y+09W3xbBck2Jgymbxr/xW6qr2Ac17NCnXC73k
bFdWtUcAL1HRkzbgzxEayIIMk7omYtZzuQOku0Qch+PygUXm3cfEdG/DhOw4Zt708/0m2ChSdp8g
92vgUm539Kvlv9aSq2V5ihvWcvz5PPJB21l3oQAZYJhPCRwYbK0SQlXac98nBttrQO+g9t8bT5jS
ozdNttzFmBE242g+NFNG/UwrESYsr/PxUdoM7ENrik5jEtXPUUKIzxwlPDpGwiMMFZnZ5CSjU9RY
9XNODOIxbJXhYBgcCxPZURFZdxQHnGFle7S/ojjO2QFHxPGEVWpfUrd0n4mT4g+UGORPQ81lGnti
V6YckvP7A2v3efKNnLbmuQ1SDk0Q4HjCPh8dJS3XcjUERv+sZ5R4Jh052fL3wg6YAYvvyyD6kbAW
kCuNbF4rMwjR3hKK1I9ddDIlv46UEQ+74gmMhjmkY1GFe9mNAGJrjzxcWuDnpiSFopsE8gztaeui
wAJ5XTledBKFwzeXVD5iU7Ec7k1H0PxgLAq+erkLJrQxl6IRtBSQ9YC8CcAJrqZw4C7xtfkSmxmp
IxDPajISmhCedCeiTU11ihGR9TF0uVLYSIwHTUHw5kcNJxzK5R7sTEgYPoz9UxrbhJEEWDcOhr+k
BQU+ZV/gJeP3wKNOhtdgqaceasJXNQZL/AAb8o5WahNvE7YVvBnJp7m0+rG6SiY5PKTmFHxrRjd6
S2sVnkZBkCt8Lt5Mbjq1O1h1cBNwznXHMWyjL5m3BJX0uJ4iQnVpcG8Ikv8rlea/0rG/FTqQpPVD
9/yXgLozyaLff1KOLdlb/zYgewi/yLhzPcdmPsD9x/zgT5GDDy+RNjtdbvyR7Fvp+P8lHPP/5YqA
Rj+hZbwySNH5t8bBRf4gFiEaY+SQgQDyh38gJPs4VGCaQMHM5yx4fZweH+ZBMxEoDuQqFATRdg63
Yj4jb/zhavyHSfuvh0DkIcgbYJgDFMH6cAhGSMvmMNSHMXJWuQ5W4A4Is+CS/luu9/9xlOVb/DA7
RK+tlIA0fvCrr73xtVbfpfhn4gSGkj+fyIfZsp/WLqU7hyC3wzdvicJr9cvvz2L5iB/nHTjX3ykC
iFhg3dsfx9eeKmyACEF3mNwAAIZBUZM29W0JyxVqZfk3A5Zffpn3o4UWsytcOt7H2a4PkFEKqECH
uY7ZmzAeWKWlr7ZF3BSb35/YfzoUKgsckIJIq19CUs3eg/2jLE4sCeIHlbktyPbROpsSd8HvD/Vx
srpcQ7CcCHeYW3PEDz8T4BdzhknRHaquGi7zQi4AmQzOpNIKqrkq96iL5396b3BQGyu/g5JJMLb8
cFBBYLZtYOY9zDlXERwKDruO5kVk8I/fn9/H6fVyfjasAOR2qGTcj3EOuWM0ummM7lDORNOsighs
iNEG2TG3TYWeumtvmtkCmV7o5DwUSv3N8Zfn9eM9asNMYIocLEvTh+d5jt0mgTvdH4KSzEOv4gS9
dnr8/Ul+AIssCAeyELgxFzkHk0j758dZWbWcZQjYXcrW2vtTAt4m9p3oqrAhR+sZz8Y44Aiou7Lb
/f7Q/+n+gcUgUJixZlnLUv7jShIKV1mx7XSHbMpnWi+48HFwzhjMDBOfMSWmWM2JjLa/P6xlvmuO
fr6yMK1cTtbmpWBZH/VmfWHAI1ginoVRda81yo9py17A3lLS6oOIADKgIGXjVMCEdnpz2Kne4Seg
2bGf1TjtU3IFPtmJdiwwPn226aR/a4tyFBvKUKBunZfSGICn7Eg17ixS/u5T06bw8sshe5iXLrqf
+dlF741M1mr6hEGDlT3oQTFYIwks3RozRWJShFreJjf85AwSdMbMP9QrL+1qegkDlYBZ+BdmoD1G
w1h4Vgmw6bPZGh5bt2Jea5OZSGIInM9xOXCjKllsNPFMl0NY6sdU8q+EO8Fe8ttXj3AiZAYlsCej
HTe9r9GJ2v2lm9vyUVWzezuhWN4btKu3NVhbKhx8HsVguTu4h4igVWOdA5p7W8BvCsSvGu8cX/Ih
7AUvfU2yZ60De2bU0VvnCArHoaYvuI7rIbmFiz69hhKf+agdgGBehEHHHzOOl+rvU+VFT0mDiGsD
vVA/oksQDrZv63vXKSK+maDLN6MlCWCtskJ+gj8LaFR50r0dR5MPWi4wAq5zTYeOAB25kCdm4W0I
FpCX+O0cifcLJkeEJQA7HEwrurUkkQ1FZlxlsftd9oaLUkMO37IFC6/t7yEWwy/KxhfjDkb6JHOs
YubMzAfUPw9SNbnfl2I4XCVTqw9Zy4qRMddXdAy0/DSYfF6p+B6Z8vNTGYr+U7rc+uCv/IsyGBI2
41O0dURn7Yd+Wrw0YNTiyhk3Ydd0oNpogNQ2YPwVL5x4HUIc2wbEA1CDF0FMSqxrH+ijcABbe+u2
zeR+KsmryEQ23hPXONwTUM0fhp3FjYEx/LaIYZmAo8pPKFrwZBv1sB0RjVwHIZcTrKwVbUrGOBub
bdOVnMCkHjMmtITgoTleKQzt0XroKITcIYqZy6fm/YLDVysc/+KaCMRsn8SxubfcLnqJMDTierSN
6MqeQsZLecI0e+Va1QCWNXKv5wRc3RzP3hqbqHuam669bI2lr1Hq8eiFjXcTEZy+75vEufGtMr6c
XAGkq6U0IoYNcIAYTQav9B6PbSex3g8KYw+i+uhFIj5Yhc1Uy5VjDMa+ZhL85mZ58EZnW657rO8X
HVbdlyQ0rW08tC64DcBWW6OXIaOgcLkeEUaqjaXVt4IxbbbuR1VskxiZggWu4lDCtLks4th9oG2g
t9FMihMHE9Y+8KtuLyZ3egrsaPxakQNxa5atSYAIlrCNOygqejiczGgYcLxaOS7GFvbf1eCo6bmD
iXyuCK65JkLOeaD+Z5zc93SXVGuJi8mO5xuHRO1d3HTBTZZ21TMA+um2m0lFVVkirxRQ1EtLUUnj
KxQXeUMDxmoFOa6z9O6b2SHQA10YTAua9Gthkl+8ajGOkulmR/K206ZfreBf5P6q8jyxQfpT78Zo
Mt/c1JPlKinq5L7FLvBNaK8/WCOLEOThfs+tgW4BQA8cl6bfy3qC39E3ab9hQ+luB9NtLwpSZDJ6
yG3yoCn24hWQSz5TRIm3yULcDqgJ9IlvGz/YpLud5nxuLxgbzutCRGm7zkh4ASVQZuExoFjY1Vgf
EQPEpBEDDN9J2gjYh2Jj3yV5ijPSAzi3ZkBAhys05RbcQ3f8o6GUtMG8i3Clbf1oiLqtDbpuPRJl
BxcHSCNRlIG6qdgEvOCSkixjY35LPgSzrgzWtmQV+ArOTMO39P0Djv/xO/YIvbMRnF28t0umOiVU
M0Bf9dzntfUi/QqtQUHZ/taHiGPmHi4DekF6XUt3xa48gaWXtgiCMUKEtfCXBhhi5v/H3nksSY5k
WfZXWmaPFAAKuuiNUZg55+GxgXgwcIWCk6/vA++slghzH/fJmm0vqkQyJSNgABRK3rv33MajpUVK
FCdRxvArJcfbWEa0NGWXS9L2p6hKAbZfd5PJsV3kS009a5snsOrNhmMv/6lVC237mtz6Wskzm8i8
pSHEqdeKy8c+KYr9az4txbhwm8yGvtAWsAZWdDD0cTnnl92L54v24LmOl62iDnaiF2b6srxnTJ51
f+nTb6JQFWPtqw0/uXCysb8wNIh7KxrlY0Bo/WRCPiZNogaGAS7Q64sjJmTKAHA+225pj80BUcD8
YH0kPRE2o3NnjI3+5VWkkVhLUfZVyW0rj3zEYYk3mlXHZfGBhcdxJorDqKllvSaGqsRBzamNvHpP
YJYpXSqgXS7iH6/FoGwpVBW1Y5+FmHupT4AoNKsIYCuUeW/PQbQ+CKVlj4Of+HtJbvGdT+7j1ob9
QvuTomL0WjpeFrvGp/mppZRRB4dCrzCompQ+ndiYcvK1qCfrxSCAaCsVAxziVHacGdFr9Jt4Ki1d
/kxZww9IPpr7JnPmRwZSdO3EWnTVpp1PRAwdXMdCN57USu69WjhfWs6iLXwrE4L9INmKvxZ9zFAb
r4lXJD5T0/ufvQy1h4IwDYq3bWpsPM35+z1l7Rj+mnR+7GiJYadbyrikFKrdR9juriF60FTMTVwp
9pg8y67xbvyyH3ea3tlPopusp77WrKeUgJBLVipnF1extpmA3G4oK9I+CMPyYo60+rbEObM1a4xD
oKvGy9en3tqIckqS0K7MhdIiZcnC16RnsHyNVVXiopHdPKxLBuJuBB1y5tI+3UofJm8xtWKr4AhR
KdYtPmLXn44dJbSr0DOiA2ofOq6vY3n2DAR+muWxr/CssxluxqXbyHBLBzMCsgH2aEXJJ7vSq7Q4
ODSVvvhh2O/bEFUtNBUWQ322eP0zXoWsKecLo6L2HQ2+gE06Uc6zZ2OpSKJ2yiZykuNqOpiw0K/c
ep4BT9owOhC7TI86sj4bmDGO9hm3JPX2zD/PcZ2DlnLTK+gp2q4T1L2trqB9MBBXa7gDLYVajVeV
27B0u7HEXl6VVCXHuXBJiSFPIFl5RuxvWZv6g1+jUFiFVkPvuwWWuiaotrzvEKHuOiYc9kD0gs8M
y2yvKjoGdDycHkMEtdtpMNSxQj62Q+kPKhW+r3bfkMOKmbfo2TFbQBvyngaAHjV8mq0NtHN+lWV7
fUWzTy0JvobMH3W6LNtCUZQWfmJ8e9VBWQXaFmsYiGb1PWqnY1KKlWYtckEEI9sEYTgNbqR+dea6
R2ewpq1Hmh8eeFCrGM56NHKF7/QjbBREfCvZiPlGd+iEgkgjgmkd8g/3FvDqduVT1D3vWg2zNv/p
dSqguoHmqsKggQq1T3QxH1IvhEMPJnG5oys3HgnN8kmiJ5GYWNwuKe7MMau3yFbkdlaxtudsT1KE
sCfz6yQnD/a0rO6w3qKTzRLtjGb5dacmdwXKJV4PqfbTq7DBGZb8QjS5AXloCs+5jWyT6yUzpx01
9Y4M+2FbUoHdhyEtY8m+5AzdX40ytNLdLTvEmB41jO42nq5NypBrUMLFd1dq3yn3X40453bmOBTL
vq06eDEUG3dO7ocynte1p0UBs9WeB7EEEcI8jpDw0AL3vmgSwwsmOnKeyGcPN96wsD4EvUbda5HX
2ApcnKu4X6lsi12VCWEXcza9D1iTMo7IGo+IZUxyRN2l6DtsdGn8Nep6O8hwHC45jTBYoamXdwpL
DImzkV6hozPjszh11LWUmfqiRZlcsaoXz4g46cP3LuJQA4XcJvdUduj6aYaP7WdE6MZdoMUwaDdw
Oa1ry6vn6xQs+53Cr75F/OPS+h/rYuPMjrMdXSI2whosdg5pbddXGdU4PU+OUWpM9NZaAt/ruTgD
ESqCOcttv94MZSQGusPdmGVnjfzG9t54HjmOXxh+15JvZZIn0FcpNkqz7IbrcJ7KQzvRYEq1uNm1
Hmoos4CQT9tSoy9b17zFzRja36zYqoZ1D5LiyjLa9EbabbnrcEM9OzX7q9VoxObl5Pntc5bH7hEs
q3wKJ5forgqAyqO+rJCOUSi6XV4cjFJ2Z3HiWRdx0bRPshV2gDN9OIJr6c8AdGffWytFZRQbvNyy
a8Pr3lXFj6IB/kEgg/VCH7U0+USUezQwAZ7XLSdwB6sQfY5eWpx1G5yIk9ZaD0K6xRZpj0ELq+/j
y1Kbfma9630xS1ei55m9dRTl8xJgkq7TvphW7PFmuqgx+PRVB3Jq40w1M1map0GqCFNSjqvzellt
jxOnChTkYsab6W2iRs2bJinutZyWtGwpaDHLr6jZepBsaVlnhnqqRSo2mUNLB8GISxCWzc54X/pO
cV9mBUlkc24e6hrxBvv5AmmUQC6hvA6MbzNoRcBxydF+Ti2k2tUAg8HoHO+x1SDuce709pxihpWp
JeEDjZD2nEUxv2armL6Mhigf0iqrvqhOje5eaTb96SSskmzflwv/CWYbeHKySm8sYQxy/dqeyGoH
2mRXD+mxN7uf0eDRvqeyez76njwT7Gy/SwXnaYKqs3G07HIu+xz4sdDyfYvaECJDWp6TOA8MwK9U
e0khMLpM2QytUitPG7I67Aqtn4M0tYYwwff/A5IDQA7WNH/VufD+RdhCUi+b7jrDR0UwXx4/jnUj
WLjw0RqyCG8aJcpvlMG+kh44fEUQeTfD0bR2Li2XjUa3ZZ9WMzO70sSaTy2/w9k9tGukofWtredk
R4QOCr6403dz30NgZ8QHmlda+xi/8rmZgfBbQTfGpgrxKoD+Fn2j+0SgGjPhyhZahN5kdO856rCe
IE7+ukCYN4SMPVkjHHtdgUjmbzHxy1TtnZVYP9zcq696iloY2kJyTzJ0bzy3Kb3w/Zm4PvK2QHV5
3r6KUhDdms9DEaH75PaxdZ/0JKGkXcIHW/vxapDsqabY8Xe2Zu9bEZvXnEEemZCzq1HNzrFCXbpq
h9bZqlyGL6WfzeucnhhlQpFeOsAeJTIMTjEm9OVgxNG8jvpB3sq5idjhatSbi/bQelNxEyaac+1W
erRxUse8JDpD/DIieCJlOqht3SVwksHcXEl7jM9zO7PvLIWqERHzDMnomZhbGtZZsy+Ybre9Ato+
t6N+E4adA58FQwExoOV+6kV+1zLjrjpSPba+3+v7Ou/uow522+jqzlFE5bRvh/pr7Es3SEkQWNOh
HI9MpFoACro/ZyvnHgei5C+bqMrY/5byV9emfbLJW/VNoPt/bry2QwAEKDn7VuppqhNg04Vn3hCm
G6olA4OtMe87UxunNSxj279M8hoGeCkreOSiJhtjV0nKyGsvrlHWkJd4LwtfokCa/H2cLEYeSlj3
KKB/jiP6Yh0rM1IUUR/1efju2pwa7NwsyDqxOSRViIlm+NCHIvGNhWkUaGjSjnz/NiAV57FATLe2
QmBK7ArzDeWO742ZIOLANo3CifV1GoagG50XlyPImM7ndq3fsIdyqJxRJtI6z/hu+flwZpW22DoV
6eB6BpcoCo2g97XwV+wI+xokgHnTjP6varS0x4hP78E03Tre2E1JShHqvXDTeHB1NAJH9ro/knmY
kOuE8x90H36ETzxK7/VAhKWzQFPihj5G6+v3+qtofKd0E+qvbpXmR+KmHsC5EP7qcLr1XQr5H9dd
3+tMYBTGWwPFDBrvSaU5qivdQA/E5ZrWvq/Mas8JYNxWwJ8+abe8MdW8FrV9rJ9sw+m46KeV5Xn+
u6jtzN3wvXkt0k9h9wPOzLjSQMPil0Dv4niz/hKHy4mSRKF/o3oPudghy1rgQX3TPXBFO+MFqNHl
R9aNDVD1QkXUSf/5Q+UVLjVsncbnqbvWwpPSWQU9mNd2SA9KEnXxNEKKIi3140u9146wEA54lqA0
h0nxz+GSjZ3sp3ygs0SM2gbt3FfHK7/+/13jpLuT2JAI+FrrABE13OV6b3nFZ4635eX/Wfw36fph
OcdsZdnum8Hhp95Qm20dKBawi6jTzaMJtAPK8pB8iTVaLUiU9AVX028U2dQHDHyftXbefnok5GG5
QrOo+5xfTlo7lq2QD5Y+wDQDhFNbts4aHE51nmspyh/ly80/fa5cD/g2dHZCo93Tb69ib+VNmH6C
QgKyt5zpBiSp+8l88vYDF/TQQX9S3zERyp584H5ktFBF8yoANNStG0UsEp4C8lMoaH58O+9ciZuA
hm85Br4m92SY+E2SzNPklQFTG6olrTmDT32v6vTx4+u885oM14Jsz7ti5npliv/W6yY9KRN+7ZbB
nOjbOn/RCJdPM7kIro4fX8l822wUf1zqxIDHQdVZnBtYhXqf6p20ohUA7P9mEWPJ6uX8MMEF20NT
D+tNBRZvowNpeXbYt27b2Wy3KS2gvdlwli6I0QBHayH4sr1UHVsB9jwa4vkizNkMEvElEItSMmZz
1W5zEzj20e3z8XIoO8pYE77dNWftdDU4yfzJjS7ZlCefH61Mivs6H4CBd+VkbgZzpglfdjzTJm6f
/ELql0bv3ZLbkLwUcweSKSdQAkHVc43XfefCyaZx5RwcfEGJTXvGqFSGmPihIPpq3TpkmZXFrRq8
iznkdFmUWbVtEImvqgRiYlinAh0mnKtV3QPA01KtW49WaQU0uIZN2+LR4zrphnO8e55ZaBlSop/A
yZbxxo+G9exG4wZQNdFjXmRqbB7nRv/mLsKuj0fAO2ONeclAwcGaxbq/dEt/G2th0Ve0YSeeSwoA
sDd8ceCtj0FEyAfRgKEYgo8v+LbzS/aaC0YJBw8Ej9POL56Evic4i7hGr7Vw8JbFtoKhfU4YUrsP
PQLRYuov9xauxbOPr/zO50tbW3dIrkHq8UZ8UUdTr8WdI3EPTtOXHhLY14qi7z1G9fTnx5d65ybp
8jIbceDhf6c9dJojbDqnTgZFX1MaxdBBXOWC28NqUh+cJku8dUOXDQyQSeXu44u/c5/sqyCqQq3i
IZ9az0mogo1QShk0ZJ7tq0HeR4vX20un+h9vA6xlkjIw8MJjeBMPwkGwiTCO5gGWo6dpksPG9EaY
jbkQ/3iYst1AMIUwChnGG7+4WgLyor7LaS52w2Z2qL6I9GoYbGfH6fPHP32Ali64MdOwIDAQ3PDn
NxEluZJWXnFbdiEC7LyypJFAYbfJRfYZ0eLtB8jF2NqwNbDpap0uXxUN4tjpCu5Ms+5joT1hT/uR
juIeQeAne5DlW/5zC8Kl0Oc43BrLy6sb+7dvHSJpQoIX3VhsiVtBwcQvbejseT8TLYSbJzc/242+
f0X4P8jYlo/udHmxlOthSM6CyuiPma9eysm4F0uQIfk4Obx/8/yfvzo23gs6DagFLZ8/X50NbQX3
rZsFWtcdyQsLLCsD76p/cpm3m1KLYBg0MmIBTJinyqre08ck4a8OIOwuhnBpHdTIivjxzbydRbiK
AYaZmRmm5alJH4fMCEPVyIJacKzluIemtPvlSucmrVq6aoR6iKn8ZJZcuHlvRskycaBvJ4vtDe8A
oiYOgBhVlW/jYx9ygsXXUmXIzH1adbOkk9VMoNdWGOagqxPdpKh96+6+HavokNNM2gGavZ8nu7pF
iAtdQCk2B8u2gOwv+wxtjPPgm0AecATan/z6d1/MQqymI4Bn6PTF0JeMc8qbeUCJSm7TyU+P2kix
4+MX83aG5cUsfD7f8E1UgycTRGFVLCNRmQeydXOSQ/tAz4x7z20/27W89ypAxaOqBDzBGfZkNLu5
kKqSTESjEnSzw/gwOvq4+/hu3puB4BWiRwQ0iOpreaa/TQsz2KIx6rQMBQGOlt5lmcIAiKa+yb+h
1//nu2jOjMhEWTIWRtLpCRXvu9Ojusg4O4Y/lmdXJ85NUYdPH9/Vex8PMEbHRZLLweCUMDI24Kbn
ko8nT2zvOpsM6uyh/YOKa7mrI9v7PuQQdlCxNJ8sVe/Nea8ASBR07xx6qJ/osbD6LIgi86qVGg6K
aKfSR5XOd3yIn1ztvQHPscdksHOyfKMWBIaAjgzrcqAiAkoLx3ZvBhNX5scP8w2vBf6RzkN0TZYj
gcz5ZF71O3PsbOpugdcN+iMB4OUOjjWilFT0OQV6d3hIDa9cd2XbX1WTzC7t3BX72EPYNWNio7sE
2dWo8Jjjz6Ap23XpZ6db490nT8b98mXCMjvd+NTkPtpDUbDajBa1wrZ6MdoltVJ4zSFxvSe42mrt
Ai4+z6VIHrOhbw6hX36NaevOzuK+HArrQBXJXzmTRv5azH18/CDf+dZobLEFdV0BW+B0QcxdfkMy
st0e5PxDzUa70xWKqjCniT29fHytdx6H8So0tBfFKrvuP79rE/qEDvORrX1o/NApOGwKW39pJsi3
LtE+mLSc9pMdxjsfHXESBrZTTlvc5Mkw6et8Guuo5PZS+0ucRNA4aN1TzKznlcCd+VDVQ7WhJdsH
//xeYZT5S0WKDeLpTGmBykxqrykDzmqXePxIZ6rzG2TJxAJk0eNEeMwne9/33iRbNsoApsHp9xSI
xreCCdSqykDTo2pNSBGtSSnamwHoQVA4HKQ/vsN31hxukD3UkifGZvHk0RZhbcUJIdXB2EdIuK16
2OhVWW0Esrh/51I+7nfPYcMIruvPgaNIfmkLyRHN8Et5becVbk23dc6SzjA+mb7eG6OCD2rxISyS
55Mx2qOLkTOVgaApunuoHj9tmyTDhveXRNWNh6n9Hx+OmMAwXZiAyNCRn36AxkjB3WxmGcyEb690
d7itCdJV1AE+udA7EzPaYt2Gb8Q2xPSX9/nbqqpm3Hp6yBGQ5PmnaBz33lzdfzIkBH/HyYb+j2uc
jAkCJbPUsrgGql5jZSWJOoKosW/NzgEikw8NT1HHGjXUCtpYGj2UQ+2iGKBh03mkYw9GhyRKJrR7
LADXmjAMgA24oRPR1kfg7PGN6ZMFISccWqHS5b5oUGhwup3WaOHCQ2x7qLX1EbOisdCM4Ogbt7Nf
oLiQBjyNsmjqvd5D9eUANUZXKcHcOxRoC9kqqa/i0Y33UIGnQ45h9LIXcXHRk90ceJl/n5RZs+YJ
Z7uCWhHxdKiFAhRKUHSHWW3DLrZRDGbDOVnBCZQjopw/frzvjU3LcF2DcSIWSumfbxD0CRxyh7GJ
VvClGtsXcsevLKHtRFFiqh3Kf+OzY8/NZo/yPcr4k+vZ8SQJTZtk0FbxUnO6HMzsMLTyk83r25Lf
QjxF4U8tkzKdf3IZgCMxPGifpAY9u1EqqREOed+r7IFO1AVd6XVnm1+jWn5yZDrNeUHy/0padR2e
KIfr0w2Zr8BgqcGmJlJO85eYuIaVV1vaDWp3Pd/SOOeMU9kFPIKsrza5RCkE1IKJvCKp20bqa6eD
dhB6p+2M1pLrEHUYA07tMX7QxvLTb7bRc1Af0QOBpIk2pPASddi78yYywjszw8fvzTZZDW1qZbgK
seel/B7QD+onwm/jmuAXYsdGLHg4uvj3xWyv46ZNty7sgsdK2J+9ivfmdAcALZRbygxigY7/Pkck
emMXMiM0A4DYRHdpNQ36PjPa/pOR9d5c9Nt1TjdGverJQwF7FXh2rq8l9YZ1Ecfbjz+X9xZEB1of
fQX6bVBJ/7wZvTJVWYFtCmg6eetpsSzq5lOZxQhrm+kT09m7F6NeyZkF7Pqbba9TMxnJnG9Fi52C
k+i8h/azQwaGoLJNPnl8700EDmV/Vgsse282v/k0CSdFShHUaX0DEI0grHB6KvP6Z5tg3oqdT56k
8d64cDklcYDFS+We9mnmRuU8X/Zp6ZhDE5lN4+jN9XAwqcVvSqHFgaUqHN/KF7eJHsbBFKFsjkDl
XniRl+380poeXHwBaLTDCGTVx2/63Z/HhEgZifotPp4/3zRpko2WxWxzhkr9FH70GJv9XS5oJv8b
13E9ToocfxffzJ/XaUhJjhWinICTqKKa077ISRs2ZVd/spC+t21d0LaUWJb/c0++QzH4yLgRYAUt
wvG4Qec2yJu6tI+pZ1yB0b8vcv+TQsV7A/i3S55uWNPZyhHq6EWgDeM+6sqfvpWjcHWOdflZhrF4
b/wuIG5q0eC2qSX9+RzbwSOPcXQLphlz+trG6hdMQKJ5csNbU76N1gsfYF0wI2+TahEca8Yiz6pR
/oA2egL3Hj+FFVSrzkS2jLUFs0Hc1nfEP4H/lWR+Qmb3dqM7eI+ezawJ0KpBNaE142bOltJmaf7S
BxNNOzyEUelfU1Ll8SSqbcuWL/H6YVVMItmS+GjeKZSXLPam/cloeu8p+ItTlxIH4/a0AZsTW09o
k2Lnp+bD3M7GqtWtJ8zjZ9RMSeeahk8u+N4rXuwZOAZdiq2nj12lRjRVbIaCpII50KuuVrtXOoGI
gOsQW48w9eMP5p1bZF1f3MZw2Nm5L+P8tz2n70weyBGRB1AarW1cT86FjNmhTWnZPKVwmgN0SN8+
vuarXuNkE4r2xuSh8olytD0ZXZE25XRm8yJwitlfx0Pn3Fmx0a+lmOyzuMzzRxhssA8sJFuvOmUv
Bv9QdDNALLREe20A5/fJozfeKWKiSqDqs8za7puzbzTasyIulaljDtGzicjaoUoTuyasmz3MZbFi
pCCfssEgRnVMSmaTIb+2PkMRi3fmysUXjhwDZjaNNvPPV6IjjXCKNinwLadgVF7FzYkAfYHAUtpn
vC730KZIEvFZQCnLKSIbGjGVK3gi/fUgBn03TSG4iVe+fDvrX9gWy308MKSwTRCrNfr2Hl3uT6IY
VkzZ/dZy0niLYNDa1Jpsg9ip3O0Yd+7Gi87MMhN3mZDjFZ8tThTiOuen2Ov8Y667zzpQsE8O5u/d
Px0wPOju0qE/LRxRbkvzphXcf56Nd2BKEaQ5Y/KUGFq8+3gkvncp1JdoDXCjs2ycbEBoOsEjX5Yl
IKTxRlXeYukZVXb04zx6+vhar+/tdNQv1V/B6ZVl8PT4LzUn74Yi4XDQA+NZtTSMcXzMlrEPVdnD
WM2NM6PUw+t2JKLeNLXoxmw1uCUiV3slwbm8/qD/xTd8gm8Q9OiY5v4HJfAG33CHpDj+j80LHDXq
Zz9fsy8OP/7z//z9B/+V/+P8hT6MLjhWIfzrOJ//h+JAve4vfNhoZmA70FhdQhL+hXGw/3rtbQEx
XvRJizbp76QKy/zL4gSHDGvZC4NF+EchmRijmSZ+G270V9lW6zplH8bc0nH9cxrx9Ua2YVhpZxZx
UzdkGBXbeQltK5b4NnfpLOugR2+RcxDutsS8GUvgG+EIpO1mhMBNSxycaNAmGlXrBdlrWlyYphIZ
AxFyJDTH24xUuUiJAIpnj1+DwDkAQY8DCXSDSRQdeVYemEPi6eiXE1TXWD7JkITXNa85dpWVm3ft
Em6nlEnarYiKS4sK670UaFobt7U2U1fnPwgMXk0k5aUk5tHyx8EbdjdwwdrbtCRWrxpsOKoEthW3
5PN1x1J51Rm5hT3E9iWWr18C+tJckkqHoelQ4PffpilBfrg7/V3bEO6X4jN1NhGP87J26KGtsG6E
m35cMgHd13zAaYkKnHVCA/UlPlDZlX2u116Q5+at0pFCipawwYLUQbC1hH0vQYQR6TnbbAknrCov
3LU6gYUMmHLrLSGG1RJnCLxlDX+nJuOvLc7mltBD19bcY4EbEOMHkYid5ardaEajRDe/ZCbaS3wi
Tv67ypbVZpjiR9IZzYehsJ0DRez+WS4BjDGWyY0+LTlPqp7IpcPrmOD1qsAE6WdYqcR8R4BklnXb
ZCg97XuWj4Y7A3ntNMCoTkOCaSfLBnSfjf4Cl0tbtdhl0um2EtK79CMfuNHgVSjO6gmY2r4wmzow
XXvck3IsCe4jbuNqLJbIQ7eFgjolWhG34K8a0a/aKLHP3azW16kxYn/QMsjCuGKoAxFUb2WX2pTg
V9toxThG875U9VzXF2WaJ1qMVwVZtEvSuOgb11+rfpSzPLpEsjn1c2mG9m094+TNyEgsEwpeK7j9
dTrchG1W7CWJfG50JVx03sMOl43ezcQMqbq99Ru4js7DoHeNfqf1k+NFW6rEeQGWa7GlmzvUV96Y
8AMcNuLjBVimSVU7XLWyWxu5bjyVnhpvhrGaWSdT6Lo7MzFSHC8a2hw2qeh1tK5p/G2CsOQRM8gi
4J5dTAetU4wXGZkL3kr6FW6sqJo3YFLDW5nHmlozk1TQYTMVP+L9zopLLZ1MY12oSb9CD+j0uxzI
OLbmKi4l9hApjxDl4qCUOav+DAZvPXjddAfl2Y2w99bjUwZNEg9P5YivVWwRoR4V0VUVT9WVUyUe
6FGF+Tw2QBrzA/QLEK72togqYjNlPgfoAtS109Ty0R8rFBxuBXJrZU1pk+N4AEREgArVPs8hzU65
GiVFYL0ordvR3hgaAryVbkiXV852f5XaIGdWpEqY4I+a9rbrXXmN0ibCJmZhA+ntKz/FSRvmajxT
uWKnX2nR/Py/C+L/S3CTSU+H1eH/viBevMCzfJE/fl8M//5Dfy+Grr2EMy1KKZ36KtVyVrx/IY38
vziOI8RFq7I0vlnx/hXb5P+F5Imtnm8ttazfkUbC/YtPmHoj3UfL5Xgo/gnSiIv/vhRyeXrGCzWE
DgV1s9NtntTBVBRxBgkoMuyZSA9LniNwmh4KY8Q4GNmfcYGWfeNva+9yQZdwAo5w/PK3LVY4yHGr
zc4UjCP1H13rcbw6Q7L/7SVc//ff93tg0VJjOLkKNpWFamNzVnhzWmyRrvSVHY/B1OIBHMyxusnK
mmwk11JbXRv4EBt6PlaVarfN4I4PH1+eUKQ3P4CNiok31/JM7vm0LkyGAvi3yW2DMnfyESB4PO9y
NwYQgHKQANK4PhIGy/EJdxBYbwU1eqEyJ5QOGmRHd4CtjWhVgp+likz43yoyMOp585DtJjPjv8UT
WRRrkWtzvxoVlnn89Q3QN4wo0y9K7dmtSD3I5pj0gtiCDBC6TgWC2q6+4LGf9kscQrJSkTHRAqjY
7K/oQM6BXo3GPSJ1dVmD9L0HAILPWEBQGcgHf/GKItFxP/XTr5gU5l0v8/4x7+S0b9JRnocGIA/8
qkQsDqUpz+NQpx+cTOqZ9C3+4DAm/nkDv25LiSq89Xso/Zu+UXp54FHJYh0RcmWsQ04jYk+EKbep
uw1EF0yb91M5QYsby/jKxq9En8JHdY23EteZm9Q3Zd4T3Nwv1qW0JYi1cZDKzmJMqMwXw4agqvqY
dWZ1A38yPKJRHfdOZeSHCt3t1hBt/5gCln2s0tm54+2YWySiZDqYAOw7Z6y+TyXRWpHLUTwZ5PQA
0qZ87vSZN1NxAAmcBTrjDoD6RCv9c8cgYJCQ2unXgGv0Qa/5I5NeN08O6/N5OEbWASercd8B3X5K
20Gej2XpnxcFJYcNQYVWurIKPG0rp5t14ES52jYqzNeD7M0ta192q5wYDxixD8BByvq7FfKPUYZi
njBdmnEBMG0sWFZXfR8bPmdPa6e9k3T5ofR4uZOrhs3YpRBPGwH6aas7BG0prNqU8gHiu8C495oR
ZrcRmnbg43F1SYqUDeM/6n9m+kTKBvZzmkm6zqRhlF+Tseof6f/PF37V81eJeNqrgsOcMXLH/qCp
yzBbPnatsq+0SO/Xls+9OFbqr1o/LtY9JjtipmPZ/yTtZ9qT1GhdRRZvIkRNTei0mjYFOFwCrMFt
/xrIPH5xc99ejziSgM+PIDExHIbhraOH1XfUWPOFHOLpweRkuYcUjzW3rrIdbPH2h546xn0CIHBD
dBzsVY1n20S8R2IredTLEGVX3P+cau5+xv0XATvmTVgOzioODdOvGr3mcx654TFvsudBazqCUWoy
6L1fgITBSbKnI6+6CQuT/Eb7KwiO6ouJlesxMhmbGBGzZG/iFd5YVv7VCt0eFrqryBayGZQL4nGM
eVFgBtpdWFnqShXCuvLbwb7qptC4l0mjnjvbKb9i5WS0ukAjajMsvwr8VWcplJK70VsCDbQUjqQn
h/IlArWI7l1MGj4lP9u83pwX8xE0ZaPdjpOS7WbkoHBB27J5UtSlb6eyNch4oMYGw96AvZCnxdoZ
9CRoS9PFnR+OyR52AGFHRBDzmoqsc5dQjuqLkWB/h6Ph4qYyRXXZOuAOzCe6kUbmPPelHNrvSd1Z
zwk+xSwKOIxIC9/BrMktyvOhu5iqIbSPQyQ66xZSAYcFa5weDFAZa/KFYzZz9oiOvpqdHePQBgFN
l5o0hbFlaurkZVeSe4Bf1j9aWnbd6g2R9Xp+q9ndpVWoYoej0r6ZgcCubBeWfW1HMPHDSwDQxGjQ
9Aoic44PhZk9NCh5tt0S6tBZ07fEI2HF6rsfWWwWB01G34lcig/xjEBCGp06L4t+2OZ2P4KKj9of
Bi7sbZQ0Z1h5wx32GwOGReZvjKmGFuTaEaq+KLm0ZgJFYMT307rGXO+k3lHLVLVJ8krOK+WH1QEh
KrYdbYTvrUf2qkgymnRFnv+K1EwWB001sggaa1qT9Hk7STfZmoXmn6UwbS7oWQ/4OPlgASEYZ8mE
cavzvYgAMV6kafT6QSeSIChc7PaqFd62HDSSpwX5471cwD86yn1TK/SzwU78oIuMO1FwTqTb0Jwb
0hf51uTZf2/UMDhrmzotUv6Zd0glru0DDO4kSxkDATQhfOkG8rg09Q5Tg2/QNvSJL7XDJR86bL6L
cuj2kR2x5rGAezv81f0qJmd2m0qnukWvZLCTz5odMuZ4RJWiwVH1xq8eEWUrwqvHMzkuhrs8y57x
7pXu2hmdae8nPdxsJF7ehjAl5Ja9JSiZCMQRhgmGvbOFe6DxZuqbiUkEREimzGal+K4urLxRZ+TE
QIMxdfOAiLDZiDjmq2q2gGKrleTgs4KObx+VU48P8yDSdb0QPVBlBEO+Eb1WArZ35heV6zbtp2K+
V6kqgVQ0fjDOtn8ounC6TjIxb/qwq45Zoay1Y+Z4IJ2sX+VDlG0bS1g3LlUCNgeLDC+q4QPoyttV
Wo/oYIngGWwxbSxfpF9cJwIeoU/DzgonvMp+r+0q2D44R4qb3NBYy0GmHZJEjGKFlWATaZH/CHvK
2OcJI94RZXzw+jHc+kNoXZS0wgiDGLRbwpO8S6Oap+MSepmT+uND/yGDu/hpRdUlfjz33B8xgq2t
YQBhnyOkRrUaZxeqmY2DQn5QrZPYqc/yORTPXepO1sq1B/wqJvGzZ/FESgkH4FT/qfDX5hsLoe64
0VO9P/wXe+fVXbdxvf1PBC20Qbk9/Rx2imK7waIkE70NMIPy6d8faMeRSP+llby3uYnjODIOyszs
/eynzG1LZ1sacq8IP34aCpUSAJSn2bnbx9230sk8InU6V0NJsSorFk8oZE28FPMOYXldQcs0xgo0
IRH6a51Z9bovhqUuaNobhKjFBvVaBRKhy/TMGBchC3r9jHByu0yOCMrkedh2tYvkhEnaaqhFCvwQ
RN06wwvkarKj9DAnVfPVbvD6XUuylZZ3g5HtUiJlmcM5tKQuZaKrzkNacjbnpv8eEIrSQB4AU96Z
eceBgxxmegVYxj55MqLbhjE8a4A4qXM/MptoE4vFPjdJS0InGnE1Y8pya9RNw+2mTrJTeZojvIca
sS4p8pKN643N17FR0D0S2IdYYXA6oxNqT38WX21qW3dYKHTfG2ztgo0tiFpfWeUyXhmnif4zbbzP
Y95Sli0FI3Yv2s03WWIXRybZ1XmBH8rBNTuyteqBzVhmcUbMPTEQm0R0HO5hWRu3VRyq+9R24qu4
pNKohNdcxvPbrwjbR8dYzH6iFgRnJQhqeu1x1CMkyKc8CdvWumYbrL47jQcsbMQIht8yy7yYjWhV
Sn7O4sSyTyxD3ScpJs0rqzWCiswAOe3j0pvOTCKwt4nSwyZeVNI1xdYTwoty3U1L+Yuc9snvxwKT
Hm6BSQdM5HKcXlHepftxjmpivtIQA/cBn6dJRCbhP41TYCcZtr+h/zFp+tBEoPILFgI+QOrCYuGf
/zCBEspAWzCh1gRny9aTnzbZti2JB6+JQdo0KRKRMHH8V9L89CENnHhnWPYLarEHnIIcWC8cU4YY
4o1CInShpe0+gVxUF+ns5GemWTrPNqTzEU1rU+kzHDUCrNytfGO6uHenGKHvS17hIQ6xfjOtBAn7
WFIngPqcc3Bjgz860xlEumEjW4Qk9fJmbaz0bnUsvc+G8CdC22ITi8/KdY2V0/Ft49FJvTHUxLoq
PhycuqmVaFKoB+Oc/xMJ27x6iTsWivulRgLBam8qBCS8S0T/Gxe3sMcQn/eVa6ZMx/CU39pjRPQ6
XL/zTGHPr4lxQ6Sf6PuYkEjkXsIunqVDBt2pL2Zfn7fREPOQUgKGjLHrx62I88Rcq8aJCtwkAEzB
HbEZNDp3ww1V9n0dYR/XtQ7GJb43F/Ex5yjZRPPyP0QUUtHGRPYNMJnCPNcQdAP7DKpFh5eBMzbs
gtRS0kyyiuybhDuOq7AGLRJUgpiOpnt/xIzLmCiuaGNM5NUUgF3gdg8mRihrHC/EuhOEiK3LEKv2
EQsOZPVu83XKVL6TaZ/uleZUM/NhPmBOSCGXVJ6679Pi2ZfU7QSkNU/BUDjpRk5LbtPy7MLFWOE0
zzx8Frtxi8uEc7RYsDe5o9N9BLG8WgeiL449qT0vIylmL+5kcSbbhW2vqpH36fSBvKYDCM6n1sRK
ZqDZ8oqqe6hIWXsY8dY4mmNfP/dLTV0lYbFOyl4Pa3cuRtIqikHtrDkuj/hCUS1WvrPizPJvSkeq
e9MiGg9v9/pFdBLffJfKtrHoWjaymll5fW11D3ZGI9+2RXNJ7APGEJE71i99VAUbJ+ipSCPXRd5f
i5k10hGVY2HJwj/szbn9VlcjT6Wcgd2pylcidecDhJ721DYtaIjNZH81gn1iiFdiLycmn8a7tNtH
NBnBuTXQ3mJdGJ7HViNP6eRX5x7x9HvID9O+Mm2xroNK38PJoK0apnQfLJ03lInmsszpy/2U9gR2
xPwasErnbRrMzROzhWs9+s1Xcixoc0wRk3TtYq4zJFBlXP6llbEULMuvHt0lEyyAySrXNQSE88kZ
SDBelupIJ8tBkg8bUnCaZwEQucNCJ8NcBPLAVumUjnRpGtLRpHFKRre9MSvJm6kzjoC3PbCp4grP
3NieznLorYQJyYF+2sEwA0CLuyv86WyOsZ4fNajG22doj7S+fN54IY7KmC7cmE7T6ab25q3TBqcv
FlFssfbwtCJnju4DG6v0ULgcZAWEi3MVeTDFlrbMiA0eA/oQn+EJC/4NQJlTPP3yhkZ8SJJXGZCZ
NrPcqvU4xRwCw2ImGsSgBmYz5rdtAxeTkIuc8QryQij1mLe1Cr8rnLZ4xfFgFsQLckcQiGya55kl
CLsL6CMir5KW2iS8ThEoE2Z8gtjqWcO2wr1yzawEQ8wcQz8OGlMCOMDuYPgMEoOdWPs4Owx9VqIf
2m+YNxPxaPbTlwojnlVky+JoLE0t0lq2NTopEjaWDnmJWlkFHeaS62pO+TeVNk12O7PFORaXf+ub
ffzzLsYczKyqE5eAPOMP05yXMsU3eH1FySHVdjA9//w0iWbaNS4tObOp6Na0iuq8qe18g1YuOA/6
rn2sLbALYlTAMtARVOcD2rYr7VLhklLQs7kbdvcd8Wz9PMYy2EizDc8Hn322HhIeYSKIujVxNcVk
JFcWwt2SFtqjLOrJajhfvudWLtswCsqO/NUCJChMfWqNXPLHw76dzlJ4fXfJgjYObbacAhTGz1bA
J+HOqvuuWgIdEiuKr3yCTHeWXL4frJTwRgL/KTxuJ1pQh7eyIghBpvCeym/LQdO9E2+38eCl3r2d
DVYP9KaCOLny2fLp9wGvtCHcKz82BEfFEAbnbcgTbqfcvhsY4KzDEtdFj9jao0sbsk68zLprPNzS
UkZwxxBg7jgVZnWO6211LmyKh3J5Bwn10lMH+7rZybmmKBosdjPyx+6ngfKkycFFzLqw74iEZbNl
H3vEK695QstH3AdMh/UbFKN7wKIAw7lTXCUD4zOAjI7dpFlTXua7JUB319YjRus9RWbJwsblxgF9
qgsWxWTq+rmwDYDBAazOSSNKtJ6CxfFaBKaAelsOez6et2129HkadOzkhdZu/EA3NZFBZ5dLHUd0
6mmUzngtaZa/ND7VkjEPtIq60zxMk+0t0ayjnGizB9PTDbW1w7dmmNHtOIBT2MVYpsfKFe1pYFDx
4i9bJcpReytzJ7/CVxgrYi8VoA24jTptyPmQ0KqyJiWoIOqwJS3NQvLY+uoPf8nA7PnpJDXmLNw0
pPgjhaT5inkdJUfbzcUxq1hkaZMmV1iOPmsteGoEJTtHO0hYKjrnGfSFSRWqh/aRqiRzV2okNGSF
d1FI3aJEekk+CZvsQDjRfV1Hzjqc9LTRihc+BQj5chso8+1v3xbmVGYcMQbZgd/EwJnacKgcq7kf
r/HJnXZlkqXEJNUs6NRtT7Ev2GQgPcRXqDvhes0inS8ab6YSHvwJy+r8Vblz7ZHYROPwBtD5RNK5
eO7eDksVMI0tpTBhl2pPA8cdDwT/ZjjdBO4T+VMJFkIg4D2N7FYJYjuYEKrg1Ef97wjXC1HgHeZu
IWmCHuTjCUBSwjJq+KFaVbVTl0Rz9Ac3BRxeY9sirnyPOW/cY9o5uWxtSUjx3cfmeO3HSNWzTuDQ
RnEQRxW9S+W0JwaX01k1NO2jUq57hZ3u+IUtYd79GqD/wLNaWJCLfw06CRRtHyzoYbzkvjac7mCk
S3JnR/DQ1NCLmVaWXBmKxgS0gkLU0jRFuKxSWgFlLOGR9UvWAK2+vexf/6g3DtvPUwsHLjnkCH4U
ov73Yr4YvyU7TOPuUJYOAXroPBYzIdWez4Oh91KqZEP3Pm8nyDkUOgqQLWt4u36ydHKo5G6zgY8K
3gK7QSTq701a+DeBF+MS1eNgHRmybldtL36raPvYqcCleHv7PpqaDxpOaZO8F8dGf4gNuz1F0C8X
5J7qsc1aiaXuMolw2mCj2ROfu4lTpBoq+kLVi79mL//j7vyOu0N98stR5cNUQ6GKf5xUOn/+mb8m
lW/cHIGfhIfaDHbMQhH+a1KJWGoJUmGe9Tc359+snUXcv6ib4CsuMqd/03bMT5jVoE8wYay9DTj/
k0nlu8EhI0phWsgykRohAYJY9PP2EqnBSkXUDpeq/B53mN4Xv+Fe8rB+3L8+XODd/iVHDFeakQsE
FMloLYHLXuiUUmiYJfPfv2fE1x/Hk++j2pliUWw6ZHw45Nm4aOx/vpnJ6oCuIEhegPbj995A74XG
5E0UqXbeimewojj4ljD/6829CQZpzFTbYkqrE2hBG5ff6z/JGjHAM2zBfUQm8H7CYAwCsEnddK6k
i9/9menBzy26MIvkXQAYf+bhCR/dTW2/y+xUnDrsgq+zts5SWBlRi0KMQoDISUcK0nm1ZyB7GjRR
c5gxlljBfW5DBnMSl+JK+/WGH1HiOetNdE+Vsk/SatIv01goosqWsn1e3KZ2pU4Lpzzz4chsBI7P
lwG5I8OzUZveCv5HCUbZ23JNS+E6V67hN/NZxkzI+DyYRuoyDWD+EML06PMMO+O9X8j0L53x/3aN
3+wa0N9chHB/f7wfGH8XOIa+fEsUsZl99+Pe8def/Gvv8MJPsKQ9Ng0BRm6ZPwY3OZ8EvmboZgOG
8eS/c3j8a/Ow37gMcAWJaFpiTH7YPKxPbCrIUThPPGpoaBP/P8lNXIFlAJubroZf9444HDoTBpyN
0RyCtHhNAKr2OFhGK9bK73jqyzb04xkecCXIcOR9w1ZEPPvuSkWF7dMCthwCG6NmHGOfm6qGNRcl
6jeayH+60sKIRBJJ0QBB8uc9JO6NaJYN+eT9kCsC4cyrTpcZCq/5/ocX/k+71cdb4kzHnG6hHJtc
6+cLadi3YS1ngtCpRvMif42M9DXjr//NZQTCNqR0HykTuEDhJiXGhjJlCLdhACWB+M9inY/pf/Ho
+FbhGeOzA/Hmvfw3bszSxUS5IWWrlOcjCfUEQtggGFX2m5taDo13n0PgMXVExeUQGPZex+Xrksl7
ODSHZCAp0lPT7RSP9/hv3zeaDMNfP8H3FTjfHtHgmFtgyERNu3Brf6zACZqtWZt1c2BAwWiARuiQ
kU26qo30xQzAuFMCAlbWRDzGry/8D58i5/9iKfgmWni/vDxZg+Uy8zhQjdafFSaeKxFiqY8TnrP6
9aXelQFsEtwjVTK7AqoTVvXP9zirTE3YXDV40pD9Qy78tM1sM/r866v84w39cJWl3v2hl1l4WdqA
CnAwwpGoBzne63KoTpX87x7dD1d6t18MeZnU0Gj4QAo1bbwxe5lrEKzfL6+PhppvtGfsiqCiCcab
y9fzwz3FCp6EC2Rw6BEvY2nb1StClyE/Ou5jS24tJlANI1PmOTtBMOcaH7HfOLAI8+NzhdodBHyc
fuhikPbuC4W1K4KybkqI/na9aUwNtXVqaI5nt5y2IXyhjRVKa0eoiTiYcqxhJzshYIBbnSB0oSsf
APAIycGcUMIg+PY2//KzyDkueXo75eevE+TyYzxb+qLxuwhS1dx5Kzuk86mhI++mJCq34OQ2vB7c
teEwlzeTDO2H3Lfro4iy6FmXdPhDOYpD5BPOU0/EbA4ZSyr3R3J6uknBzKEVpJ9pAWf6HncclRfV
Fv1J9RljeveEe/bwrY04aKze47dj8X0zZW59NgSdztaJHyT1dnIL82tGLACeH/weA2XESxlx07nu
m10dxs0VDIR601NCojBzoihbWaoIR+ZvPTnfBAfsWpMxftYyCjRkY6xLk7ubS/bOElvbNawqG+YX
+1sSpzi6Y+NMYsBo7dCt1STIo9U+uZRnezwl6jPLJE88KOkog7A01n5h2g9xosXZGFvZcxzUxb03
MJJpO6d5ar3Sfoi492blDwwXmtKFLuxFOsKKym/Cfu04E9vNSMWZQpKWxX03kJsCalXeGEbaP0c8
Gvzi2+bKU9mrafFOFb7JD2WQvo7dEH3uvbk+wjnm13ddfTYVy3BUgtfw+YZhkRCN4423WFO6Rw6V
fg2nLd3ruHBWVCLpknWjKgJHcfBcuQqCRew0IYnLcfXqkcl1aZFdtfdUgWrZNgbGjG8rr+hIKiIa
JzhPPB4Z5H5uUyXELLmEhJdtE98FMzbiJKyl+XNIqAEJ40O9IQIog5tEfAGl+iy9Yp9Cb2guLAYz
4cZLIv2YRI0RbmFadAFKgTydVx6Q+zlRePNDgGHwHWPp8tX2k/rEPU5bfNKjFd1Ve3BJdL6v8f+9
c0hVzNYCiAsjdnh9ULmTRGM5PzKVkzgbId62eQV9NOaCbKYmrlc48RvYhnjhfddKlp1LHvFau5yy
M2kNwIXN4uuNw3Ryj8VOrPcqqLKXEI3hLqxYR1haQkZMQ13sOx2NAE+hfpzlnO/xQO3xIDCkne6y
xhHzdoZ12K5kFw9qRcS29RVHq+67PbO2XAPGwqYYRPdF+33zFGeuOPOngm2cSZJAzmU4J1i0KeyF
ITXWVs6bEEmcP7exXZ3GiEwChu72mpD1VxC8EMKh55z4IaSAYwi/MaYOQC+Bd3VJZgvslrhYDPx5
Q8rh9MWulelTAPhA9mX0OdMSV/+kGZM/qiYUhyr3GEh5CbnlrqUem27Se8wJiMIIFR/CPAQVltkp
0eHI51uD1ACauD2BHH/0SvqbpBs/Q2uHF6W/qmRKT2XlMWeJyJznNPZvEsWihCUzbsHg9YXuZbiN
c9Y5rjLRym78/CEghvkMz+hdOQNwx/PY9OtyyLucCAoaNKcv+KjZFcfrpIANV6ksvHKoa+EXsOpz
VYBL6iZi0EpQ2yzZ3cqh13trOfobl/u2y+wl7YzgKsBS5qUYiXtxdG+hHh2A493IOY2KLwrb0OhZ
hXC+zGKqNxpPi63oZpZRSXg8NkwKQ2ZDEpoed+w5CelwN5YnWyayxYsQbJRSsn8QbOPfzCm5P7aU
0ybyW6ZJwlHBDbkdkvEZmYRkPvIZqlC2+8Is1SabMjYxW9Ubb+DSksnWIcWKHH6SNXxLMA1oqqIi
PaAj7wCXw61MiyunIXMhGZyAl1A2V127lPa1XZ8VtKPs5G2iiGy2XJwMeDppFALGe0wq3nZd2LVP
fR5Yf5gDu5VevhFhztZlHvXpZSbGeKcnVPcEtSx58kYvCJMTu44hzBqneXst0NDs274e13r26i/w
IMOrGcXFZjR9uebAHfCW69m5C1NKXNq86k43cUTkMUKEaFblTafYe4yY3WMIWfS5LnnmYa12TobB
Qlzp9NKJbPNraKn+jFkFJXGtroK8Kw6dZ+p9liAzLsPYuOhleuWkjn40sqy7msakv4iy+YFElAHe
HfzZYMLE0p0tcZjDdGYe25ZXpGNG10X+5LckbMAcea3jxYG6T7+wnu+lNuODje8guWhlu+5NB9uO
CfIWx2K8Z3P/aoharWyfQ28Ryh6NNCnuybaoTrJixzHLAKalaRGfPvNKmz83WUKOkO/yDna0fwOi
EaICOberNXjBqA7olV25Z1q8spllDqseAKNiWFywmWX0mS2fSBYiv4rN/FgNrRkSX+IvPigkXG7Q
3MxyVTROWsLgaHsTXtnQLpFS9peutMvT0DrlqUZ60zCghWflFJ3aKAu9dMEcacQD7GwabGLhOXwK
yf5Xoh+5bRkHYxOUZ6TFuKkuk9OQhQ6JNWSc6eAEHxB5SeQpx3fWtAOIU1czxsOv3ZQlZITpvPyj
ETAErTT2jyNDYFjSUyiXUYcwmdiN7OtTsEgfSR7r++vKQ44iM5dcH6gAcYbAN5EuOKqyNHQVq3sO
cjOHCjkWn4fMGSFCWx6TGup7WFqNP+lTVWT5Jm3Mr26gDk2WwXyaHMahArmo7bG+2Dj0jRCZcWE5
lQGL1i8xV3ftac86tZ1VnUFzUUXQH+wWE7uxjV7yRCCSw01lay/sVSK4rEeEt+Ml6h1inRgRmpvK
tZWxDgtnvmS5xt/iwoeqlludwQx3DKluDeOYjsIMdn5csr+5Htu3G1Od0LC5AyIzTAQ2DTd8yKEU
QHaYhP6NRuCjmngpiMHgBCYq+EK+7wIb7HIJnFX5ISlL96R0V77WDpESq6EfOrMk0J3SqiDoHuVr
ZvWX2qOysHJ8axqLsgq27wsHV3UKbJDtyabV6dIGFnsxKXHmEm1zXslMMgBF1dTrlvFqDyp/iBcj
WYeoxXrr+mX0GXtx98XxkCSvQv5jHxiWfwPFl+02Akq7N9M0e37bA6uKFNb1MC+ywV/3Ox8VuOgy
kJWYZggAvKg5f24Oupl8RtWZxYExF3uvPegLDMBNH1cZaibCGNPLCasMeMszNVYekl7K5ifOeqeE
YmiFv+ub34GxqLv5PQA2+Gnj5vrBE9SPyUDERa84yNK6V+CWMud8Gfz0pSrUbTRx5P/6CXxo1PkY
gL25kkVvgvL53QNwtShj5pIH3VKQVsQFclhTmlRVUp8ZLnFAv77eR1uS5YK+WDwNsJP7YLJWSYo9
18uxowxIaVyxY9abtKs0GbJ8WD3O8tu841tDZTtcvx3BA0Fp3j6xB2sHadtYE3ErXsi90vuRmMHf
fBEf+uyQiPPAhibPCuG5vHseeDUNHuYR6SGk394LI67PGhSov1mDHxALrgJQgcEyFu1YGb3rB1Wq
dORVdXrwXCpXD+NM3FG9ft0yUCIXKSdEbMqo3OFv6MdfvwD7nQp4MRBgbrHgPwyNPxrQT1bualkM
2L90QxxBQIFZaURR+Fwq6tKuHsR0FRoivK/c6T4Pp/bVaMSw7SdNYGxfV0m6bHayX7WFChymnA21
nJvLA8UvVCaIpt/byIr6oxHhnPcn4vI/vPp3eLX7Juf+v/HqK3z7foKp//wDf8HUgfnpzSzVtFl6
Fnsd+9xfI67A/QR0iwnhvwHnv2Fq6xMGvkBqi+qOvwjn7xmXE3wC9DLJFSAFmz8OqvIfwNQfNgV2
HpxjhcB3kyHqB7gwGui+kkqIox4Xiq+dzfkttX50wohFr/EA6R7gdRMPKmFoWngHnQICe56ohscv
ooI8gl0F7AsH/l08Uh3/esm8X638usU6Ga62YE/w3ttvhNjcRdYQusdMu3DyEhcqlZlU5+QZ0Q+3
aQG5DUxnTWwEEX6/vjanEDvwT1AqZiyBhR7SYyYA2vhuR4rgGTeeSttjFEePZQsTQw0qDS+Ww8jb
eI0gjMoMKo/H5PlnUOPSLxacredxxh0UH14CsZt5ck5xgbFVTt+/7ws6wK1sa48ojaAhZE754hgN
ZX9uNQ6rGUH7apYcBRndtbV2KRGuEnuibkQIZq3pzFtM5y3f3ygF52+Fc4jR0qd5BK6DZDxBSwM+
6rKEIMWgPoO2P28lOvLbBEsfWLwM0VYGSgtoPG0YJiRAgzNADDEfDCmJdsj9OzXOi3fA3LIfIlyo
LgnQQ3udGANpCGTzHSajJHjZmJ0Vwn1FSJI/kHiJ+VGybpIqoVIep8cqC0pBak5onYshizaenPoH
XPXhM8KShukMvRe6DS/AOwRIbXZDUnj7kRDuNdUgM0COzhYDaiO7MQnusDYZauenggHepq58U26C
ZAy3A7TZdKcdhEdo3H3vdiSCgBavbbEnBz7p7yxVJ8Aa/qCOYRAW8aayUcED8CPGsJwBuA7+rLkr
rRxGQ4Uq3WnIxm4sY+vGs4OoQzKwiePUpmdI8BEAtnJ5rZnhHoTGF2RVuJ5cDYJMqGwK4Ll71TUh
TuOOmCsb2T75dStX9jQTkFCsHbFWcifRVF2DLRn7mQC27y3+W7vcTHdhjyCClRoeUUaWtzMkaweu
nspOYBzZBl6s/5KAYxzm0py3YdH0h4lU93nX2308kw2PYn7dancEZ2urbh8waj0jcnY84Uga3TuZ
rQ7BkAwNNbFI/nAHU19ZtTWKJcOz/MP23bym3KKsbEVawZ63YkzBJj0LTkpfetmGtfc5iY3MuYTs
rwQieOJHhs+WLCFvr1qSQZF9OlEbr7MxgpUUNH3+vcoSFJor2PmL/Gz4ntNvWitMpEuN20TVaHPJ
lJbpC0NbYOmwggl41XUoG2c1O8fCdDL9iOkMZ9wkoOYSBdIzfgrVKFkV4CLfKJ4Wii6UE1hAPZKR
LQBJZWzf1Kx6ssjp6Uy/R1CljTn9jBPDNB1o2my1NiIi61Z1Jct4A90lhukUDtAoc9CxahXig7cY
LJJHPLcw+JK0r85lMqTNpjWd+qUj+veIdWbBpz4uolKgk1tGj8tmmHD/+ZxWVxnaz0sABkQkAK5c
TS73BioscACYYXe2okPhkGjI17hrwwiTqebXk/pAnvZCtEvrAWIf/JqnQS9RzKHQjd4kAwsZlqca
jZUyR/UVn15lXuCkK8zLMBoctW4w9XuRHaLFTWPAb33byqGT8ZzcDKozWgf20dzo9eWY2vN9QVbg
Ego6ODMmo2MErjdvOAms6UUoJc3mFGi4p80pj8l45zuarBjlaG3Ng36s4rFISSs2RPWipr7k05Fz
R9U+e5dtZ/GLda1rYzeoPkVtCnq8bwO7uJqqhJ7Wq8lJxVUrG2+IrbOv3LpmYaVRUFxJPGzLdRVj
9ACeAOeMhrm3V6buk/IcWY5PA8Uv4NtFvnSssOGFbt7KkfQ/R0RqU3XSfzZ0NUwrHk4erot4rqxN
HXgwxEDOAtxJW394qi2jvky8KSw3gUd8SkQyyDG2oZHnQ1d/7az+iwOx8KhxqxTA7OFwQ+iNU2yM
3CXfN0CD6K4WDqkm0xN7CVdk0c5SZn6RODpasJwJiTJqvDs7V6O38hMlvgldedi2O1YCuzVntFTD
vCjQGZ4TyVifkTybnCt/lkQGtgHMYZwYBOMIaZ0BHPVHAkRmHz+HyLjLOWeIgnDCRYvVormy2tK3
1xhTdcFKEaacIRZb+JbV4EzsftrL5IZ9PF6LWLi7MWLD70q4lG/n6P8Kx98Vjpa1MBL/78LxIv2G
h/ZL9VPx+Ocf+lfxiA0R9rVwTGmLsF/wmNX9VTyG5icXUg9cHqauUCo8DAn+xXEIPuExjRcA5SNW
3oQP/F08utYnqimSL5aZN90Wlkf/SfH4rmdmJGrBJ0JqhYmWi9f0u2aqHQ30pUWHzw58775da5g1
40EKxjtoTiqsPetkIkc1yy1jAKgkZwONT9LAXQ8b8eKzzdkWwkdc6Ef8Yb2ZiBuiW9zsLLZboyBU
tuKb5CjDtuCHJ/0PDIPll/1Q2tl08hAYFh/Bpfiltvy5+Q46NRRYRsoztC/jrZVUxpoyhQNG+yb8
24l5xq8vCITw4ZKk7SzoAoQQj7f5jtRgwEhqDFXHZ54Xnte9T5p0ocGI9nhAU9us8tZoDxZ77FM4
tGE7rpWrffcQenSsOxGTv3uMfOwaVrMmI2hVeRHTL5vK7zqoUiTPdaWA6Rdae2FbPT46UVWfEVtJ
dhGTOLAeShzprVrZlvNakMtHDThUPGvD0+NtMQMp2dYsXvqqqbtV1i4nQ8gQKd5KP1qgYhFZ9mrw
DGZJeM10QKL4NakdbqLTxeRhmCBxNWiZ7gISSAfQZnKNkOCkvrEuZcD0ae3H6RRv0bgM8ZZR3Hht
Jm6BnjqJ7TsLFce8Sv1u2YUkGjkjmcbr2Bv4GaOdBuMWn8fmydYDcalebbfJ1ZiU/CLOaOcIPJOM
XyQOHJgJtwYUWjtLrA7DPKgsl9hM+8bO8yevebThzCenXnZ8f7D6Zs5kkj9vZ1nBi3cKe3xoAms0
nh2758mlHXFibJv1WB9lgxvFWhNWN5NQi/ANxFfzTxuV8+vsTIPEjXOL1sqgzEsWjRJz4JqEeqSQ
SIRTrK0q8ZLR+9+rCaRaK8kfR/oBDN6m3g3Gvvyrza7lIaWTy1vwXDhSjwkmDM3Bnc2y3PIcOddF
yjmN4L9g+jQKmLafp7nmteolyO8MY88iOc3LK/GXhxOSK8z7I5b3LGwNJmJp0RsLVU4PF0lMRLoR
mGiaGWuOh0WAGKBuSi0SROTEIixQzwMLe/7gb2ptF1usA+JNIVprkc6O0x2M6/4S2AJEvcwIiodS
rtD+Z724mKbYuze0b10OuimuHSePX2xGWgcYB26wTu3Kf6niXD80jpmN6LL4ZJMBtrYedB+sk2xB
YssiyqeTPXoC2Vzth/cG3t79jZ3OhrcR2uez0dLn8Q5p6ckrsx8FTpEiNiqcTVXrWKSHu0EyO8x6
XMP+xpydd4ellTu8Ttmkmif+a5m9Yh093qalyWDKw11xXcd8Ix3sRLVm3mHdYYPC6ylyo/VWRjTw
btG+FQy//bp54smwuPysYlHmTT1Eu840mu6Rqm28BXdkIRizzwNO7cb29jl0/zOB2L9ZRSNeXbHO
mDRnkT1eu45oD4p47/HcqRSP3q8VV2G0mc1koHQMdHGy4bn44aJBVQJktEpyW97l82wY9wbVQnsO
vdGQ19OIjHpXAKQOX+YS8P8LrV6Z30Y6Q+NJ6dQywnac46wXMHieSp4lkwCe5WhS5DLZjXkQkJfk
ISoCbGVcdhUi5FuccNZvH3I+Gry4Ghm43Hh6WRS9RN+xGgeUjWzmtX2XKgOTEFg2ifc4FoGyr7KI
Uh3NlJXX33xnsCi6AhgiQVFyTSOPs/HgR7HMnqUl0U2uhMLTwIGamj9IdggrwQViFvKqxtzMCwDF
jCjc+kVsyK2d44i7grKanbrW553TcluXWT8740Ogojb/Q/iVbTM5nNo42pYmTdxVyfkzt4gvkD4e
o8oOSkS2tWeax8R2mOxg6Acrw8CNH9eRmQ42jYPLCtPMR6FVxPDd+uwT6zCsrbJWX/CNMbYw+JMN
H0a3dlScHJ0ijLCEIQN6Vab45VqONYlN4pfiwLzOW1zws9ZIIT8Aiu9cxjYVZXUzRRWbTH1smsC8
70Rjr53SfDYY0K36Cg1NPlWQYZNhDA5kr8dfiy7y/xhjJ8IVQlZXZA2fq0G2Ex51crwhuDd+Fo6u
tiWHFH1059zC1qqeLTcpd3ZlMiT0Z9p2s/fldRhPOXErOe2gTaj9RdrExRc76/xViC3YbjZ6BjfY
8q0riZIQtlJzpYu5PBfMpbYKwd0N23rznIUq+azd4nrwzTHby5Yk8HYisNkEsNzrtE4/x51XfCG7
pYtpjSs06hxgmyJv51NhhPkOy6N0pQnCW/R4zNxS7dR3HDrNYyXKJtlkM9BGkJr1Q+J5y6MlsHkV
eEJVa89X42Xjjc4qZn62iYEfXlPpy02B1uNgL9E+A8LSSxF3vrtJTFEROT9RDmw6aWvG6GW9D4p2
WuhRTn30E3znYmHdZFHd7E1cWTcEUDeP6MqYGWKh4v0/9s6rOW5k29K/CCdgEi5iYh6A8lWkyKKR
eUGQMvAu4RL49fcD1WfiSOqRbt+Yx3lrRUssAgVk7tx7rW8dK+Yo43Yu3eG27UX04DeJs9e6Jd/Z
GtBmkiQXDySs49xqSd+eWbDnAyz0+ThpnPuXPp+2cydl2OMCDtthzrANds7jmI7LF10vsjNdjOUs
K+kX/0zLR0mEaB6p9gqxIpHo55JoLmPR+7IXJwyF7GEuNr+UxZ9WMr5bJo6MzPhXoVaO/LfOvFcd
fl8i/VJNAi1jVEl/g7Yfqv+f2m1tXVpetrYeVd8whatWNcBksQtyVARAjK/sHLHM/OFTfxo7cNku
CmIi2lZs15r59GMlKKIlcZPJ9k+cmJqPEHpYmZrepMj5/dX9JER7+xz8KiR0UW6uet0fP2dMamfo
/Dg6CXoELOq6ZNNY3cC2ilix/vmHrWJFbid93V/wtgaLiBZThdKsRexQr67NN2Wrlg7+H1q0v1bS
jJM87htPD6zmnyWgbey7Db0PMuCd2bitVjegDZCdAXJfnzuXge3vL+1vPg8cK8lcBmA70GU/yTEN
r2bdKEr7tKgkev6+B1aJzpZlV6sYp0sJtf7D7fz1GUG+ZXOZOhR78xfzRF2JVlcFZv5hSNcka/x8
ypj+FN33t5/iAp6k0W0Dq/vp+S8ic6qitHNOMY5ROnt4NF3vj1jzv/sUDpSeba+C3V9EmU5vma2t
cS1vkl0nRfeD7/Z/8C1BT7UA7nHaWel7Pz7teYumr4FOcjIjXMTAsPlOxhnu3RYtsHHbN2pc/nCk
+3X5YE3nZeayCCPiY3/8yCodo3kqHHHCbuJ8MHDcIqobKUUGwjO2FUZnM3C6hcXr9w/kry82zGoG
NeSakgn2ywNJFGKqL41tAnvj5YpocZ17B6X1kmEt//1H/c0l8nCgiacGx/v081rl0jrio0oTW+xq
xCyN+rx0TGMKscoW1hOcWp+a33/o310fcRUMQnQbHe/P/oIRs76V+I5xKhz0z1WJ1rXQvWTPQeeP
L9rb+PXHc7lPd4KOonB91/v1TVvFcjqvMxq7DidtZpQ2tFJXL67NuMhboLNAuKKZMllN1HUotubu
dmwBBu0QPgkOFzUyM9AKXwiCsKg6F5Ctd17uNH9K7vt1HYKmYbmr0J4BHaOznx83e0qh5PCElwzb
wzTCe50pje2K0EUetcynrP/9N2H8+u6uqYvUlcywMUj8LGaOC/olEVvMSfM0al3lWZwfehBCXzxp
sGMlTbQ+71lq3LZD0X7Ef7wYGyv11bXtzLbYt/GwtDuqJAy6YDWSze9/wb+7J6yUPCtkdOuMPH+8
J3oLonH0eOvLxaPo1u3skxEjsSR4t0oxNOt/auP88mw6aAZ4G2jl8IjCIvvxA9u0W4v+eTmNIhIv
HegSepxtxWOqVl3M76/u7z6MvhGuOMJc2Q5++jA0uD5Zcf58UjGCyKwCNgeChVOOrTeckn7/Yb98
1VyZt2Yu6dZai/2cJlXmmtF0kT6fnMjmYBmnPU8WLyKnxN9/kLkKbX545Zhs4rJhR+DiHPpiP97D
glhh5TTuxAYuk+5O5wzHWMTreiKlSObpzk020gkRMfSGZEqQaxWNa8HMLtZtsG7VNUlz+gTaxGEJ
lRhEkcVFeKhrDq0sul7WTid4meN5m3M4ntDZ3PUVZK/yny7Eb7Gk6KvY13AN/VyJwH9Gkld23clc
EB5OyFvOIEzSfazP/7jo4aN4BjCgogJ1f5HSYCg3+1HBdZD40GAlZFw/aX7+Fl55fRaV+mP/cN29
/uNbEmxreGx49VGP4Fz7+VuqltIyWmmLk9Mq8ZWEyvEkReQ/vzVEHLejq9Muhf1UK2X+YQMwf35E
xOruYfwO0XzVr7AH/PiIiAJlKgLp7GSAWCwXqGiew3xoxnFvmSGiAO8VilMuGPCgEoRHjoa2smSc
Hsx+RoLL6GG+6kNJF3HJ135NK921rh8QFTA+5jmSJZRz8GpGeuf2s1bxk6bUPvgIydEX5p5V39tZ
hzh0fbwKjc1gP/d4P0+jnJsuACuh7uxJ0RrrIlR/55zGEaPddozX3Ay0gze2ruVyoxt5eT/RbYAt
32t7JVLnrp4NDay5y+ScLjbgQ92Fx3ehLa1XYefagx8kQjaXPhdgC92CbMBNTTQMB+glPQE0Wuf0
hT3AIjKSFhzk0KZ2T+9bH2FgWku22vEKctYXeE9GYXyZpJfTFNeAH4W+atZmKPS55G6cFf/tai0m
BKemRYnWmwH9gcBdDiVVu/B/l5aJ41vxOeYRnRcfN68ZtA3vWlLh1/1GtxziYG7EqydqlsrPj7Gn
qWujljK5Q15e1Jc8bsf+vkO1XW7QgfN210bZ5Nd6QYfMGLQ32h3aNXXNSXW/xI5T51fUo90XhWBv
ocOb2ctXy6kGcSNbY21FTQVfM1wf/iGXbr/YmO2XhwZHHKIyMxOXcSXp0dEAeEjke5+rndMAn9rQ
B6Fz1S8JjXCvnB1ri+uEnzjgX0DKP1nVsVXZoD2oOuWj23xh1/J19J5tkBREIryrptHurwYw+m6T
87gkdxwXwRMZswvfDt+HOI6j7Nwc7/+ohQsTZ/AsJks4YHeeoKoaOeKa7pS6FzEiNzkmEH0i9lUD
HXQtC3paXjN0y17hnzYDZJZ0GZEqKvloVLYsgCzZPGBE9TjmrZZK9oa3OoCePU8ftCJaDYmDfOsE
0AB+WUQjxGvpttXqm98v0R0sMvxIby04uxj4ZaxEGY8iM+2XNEqSaNsNHYa+76+Vs3ot9PWdmVyA
yy8VCa2S5jzJ7IYyEuRz7IptaPYoYkPp2DxFreesLoXC5r6a3dozt7JueMXVNo07haPl7vtoBs3R
S2RbayERC2o7r3axBxnZ2omVtOeDhvHpAW4YHfi37c91BpqMCb0r92ITBLEEyBhUtoO+oHdnBOK8
pmWjMWkoZsGNZUoqrF2GoTu976qWX8TQ6Z3smsLsrtVitOrToFxLgzzp2nl+9WrimG9sVRiPDmEX
IhxgPc9fPY1JxhajoSnuZ6OhC5zM1MYW79/kluzHjAGSOkjoFvCsCKY5+HlEb7nvKcyJyQhs2cPQ
C4p0bMB4RhEK05Al3M5Ohezo1s8FTUmgP9Xi0RHApnAqdV3RaqND3q+6lmUYs+n7jv//56R/nJPy
1vxHzfKrITytqq/dT/kvJoph/tW/B6Vw7SFF0MiB02BQxFCZ/ntQ6r7ZunXHe5uFvs1Q/z0o9f8F
EB5BpqAlw9HNZdP9dwCMBSgf5AN2NHiVPj/5Hw1KAcD/uH/rvsEhmLB5Dgxr8J7xU/FooScte1Hp
50rX6qQlokI42gYwXASA2FDNNhcWhJzZGhu5Uxptna3T9NZXpQokUyU6EuZMc3cDK0j4NXY8XBZq
KYR4Nnyqq83UGa+xZ8ZPJZKyMI0d+/0Ih+4Gam9/txA3Fe3SOiNGucYjcxNP/M9wdJTf7LUsyQ+r
QunsZmhNMCHeF7K3XrUJhOuZaZQCsuyY/WXMYPw+WXk0uJduaRfwhYUzDaj7S2v4kr0Nb82OaBmn
1gO4O7tlhsyJkGTeWFK3sCBaw0dsQBOzpgEY/E1upeC4WlmSqpLz3T4AfS5R05lY1bZNESGnIwEj
iJl/LaFMM9qriPVAxQGVeXDEYB47t0/2psq+FNTl29RNV5h9i7pkpK2/hzdBco6V3zkZE8wDf8W6
AawalbC74VX15D3LAEubte0N7UXlQgWenpUTaECXjQK+8Bb4hI/PBnjThj5haxPbo3VXQy/sm9Fn
HmX0g2scB99vOfUvfvS8lJ770Lh29Cj72fSO+HctbZN1jV1AIhOszK6Msg8jKKWtBhklzPEKcA+a
MWgHVZ0cvy7OfeMyCB/KKV0rm4jZ8DxP537o1wifuEm2buos17aKRarvo5jpTG4AM+4l3SKznwiM
m5ZqQ/NoROcTtdnOm6PoIOrS/NAsFnDBBbzHo1+4hSD9ZXLTg9B0r3hOJZHNTzFBz66+HdhjFbEy
gJK7bs9sZNa7YxLbCMPKrLBT4yXu4D3xzRVGYNuFvy07EZrw724X7C9bpUf4P7HzHeldX70kcrYg
e7ESEWiUhakNpFfU6HoSx+9x4kE8CgqkXWnQ2SYs6yUaAd56TVBp7mNOUElpm8d4kDf27CHsmdC7
pTUyn6Ul8TbfA92LTm5e7Soq0ydNS+4V2tpA8jE7fG19gMP2o6FPy44RQrSLxvmBbnp3bIGQboHB
Zpe21PRjY5P600etefIJXwtyytltp+HGKoVKT4JW0m7y6vSsFfNy1FteTdMpzCd/Nj9VvQck24jd
IEt6DTtTNu6QKvb9ibyN7EhV9iqpJk4yFfG5ZTKxWdDxbcH17hmfhZ1ohh3ZN9wfDQJ3qVVh3Gq+
hscmS8I4Sb7aS/sBJy3caaYPUBd0UHZCQi0GdAGXdZjjVRdLbiv5B3sIVg99qnWBUaeI7UwbOZKE
vMJvn50ze9Ykg8e+OSLwGL4CR5sRVFrcHF62Q4tUC+OaFVTxQp5E2+J4sh9aq7jmXnpZjIi6dCAt
yFweU6ff13rnn9x4unY+tLWlNDcAoLdxxt2P0YR6o3jq2nbvzeomMzWFem1QO9kU/XaMGKbFkXh2
sLQFU1V2G6MsvhYCuqFZTQ5e7GR4SDVyUVvDCP0e2hswKRbB1LsRDUbJjEyiQPd8IyBrVtzrMNq3
pZIVw9Fx4tlqiGnk+3D21D1dqKHgPHiy+Ly4xL1R5Psnh+XyNEgmZiqystvE7zNIZgTQ8VYY93HS
3o9Zt9U8Lmqpq1vlieylWFezfIjcBvN6p52bxhTX1Gwd4q56RLCIgHeNanwMbskHXesoZ0z1LelL
4xC7HUeUtC0CqK2kcDO4PGF3sLYdy/p9b6HNBE3sH/PMvUaOvGcMru9YJrxznWmTG3a5079nXRk2
5uhGY9BYfXaLrnMM2z7v9zpf1E6v24GJlp1cLaX8G6l01A1avxFZ+RHqqBkyksOqV+4q8iIClTVu
sFTdtXMqVhcMN4A9sh3UaItfrxYviUgh3SbsDm0U4q/192nWPxaYV3dmuUQPUz7dNForQ2X02ROy
lic79pkcaeNLt/gfnBh0+WA7PMdDQ3xDATzdnHZQCo+1k+19M4u4i624NVGb7idPfq7s2d7aSAcP
em8+NpGbr2pRBgllUoxnu53028SwroPfXIoueXZyE3AqkDK9Fgj84AvitV5VnIxehR3m61raaN6d
11n7Ls3UVfHV4c0bY4DgzuJ9yqPY+FAgRN5Iy+VV0wQnVne8wc+2Hdv8xOm439lja56RwHpBOzYp
Y3O/TsJ8Lrw99sHlmNT9oW+y05hGOSpvPQ1j+EGMKrUdm1kRLpGPswmTGcdCMYjPQuP7Qturebfz
oov7pFwZlK5sb4CLa+E8jfWWYIbktVGOCCdzuKi0ZU+YiidDjIcKPLw/LmysmY+/W/YPI31QmArl
ZwK4Dr43f8jcvNiOXA/CgTpHi+im53Fe1aqlsRPw28wwtu3lVkEEBR8ctc1m4BR2tlM73s2aNQfd
EFsfo3pornSP8irQGM42SMRZmcbSqu5ibcRIV0sosT37WkNMyWGuIS7B9mp21dAMFxOcKyoPk8PL
oEPZtrQndOTr9gwjunb8QPPs2wkCzDNijeqdHjej2oi5EFi85iUbrlWmeUe/y5eTGq0ngUfhlYB5
LT5EJdqIne1OVhdYhTHJQIga4C77rLkde/9zqY13RuJibRRTf+3s6m6qNI0DpHZfzsnwDsjL+05a
cocSsz6R6PDe68jwJQDtZBKJtaVxOW5MMNCfWF7FYcLk+JIthtyig5JHS2nmNqvHZO9AkAw8r8nD
EhUoXIXxox+j9690T7uJUSs9QyaYApJ4vW/OQPICsmkzsBOreCH8bH5wJw0hyeB9tHK7CYljcZ8h
XaYbLXL0EGd+9ggTV0dPQfPUd0kWtSx4DUqsLxFfWBZA0ofHyfyb95pfL+YEsy2zL43MX2ddc68+
gur3VjdudSbxt7AMbPyqbNlu1hjYHFMpEg7FUgSNLoszvrwaRumADaGr4hvDLA59HuUhbG14joNf
XxFHtJCyvWS4J7bCOyyu077XFv9Q97N6HIEZ7Aw/9dPQB5F/IbTlS5t7n1mdCyAbjr/hDDc8pSjT
ncry942PUdtG5LXFt84GweF605ugXRPbpP2i1ZmJ0sJCjWPa7SUzuiUo+m6+lGLyDxPidYD07Wfi
0oxwQH4Mrr0ZjQcWyA7B2GAVXuD0WAv2oorRVZQiZ/PqtOpjy+TwHDuzvSuoBZ9XK/aMN7fwVjfq
bD2UiWW80lBxXkVaEcuw9LEfRAkiXtrmW/pe+c6Eg4DWCSs1QIuTOywafFasqJb5LuKgYvHeVlg5
TiCoNyWVBySAdIzxR0QGfcmzRCOxy8sxfvARtEvjhkIrLKE3S3/BADB9YYzl7FsgnZuSeRnG/ngV
p5AnuCjbx3eg7/nWTnZGuCMxE82mqOsMQPPwaewF9vWlGYKKmCc4arjTZdSy/+U10UwVhNWo6QN0
bsXBQmgQJDLDuqtP20hat1mSWciEHLnH/eKd06RERojSGi+7j8ws2RVjK6/E24q9brwORULBhB5i
m5XRE12nMihacxNpwgJB0TSbzpZYkbMIWcFcbd2WOOmK566UqgsYrBlhrVUNnKBxg76oZTlJ7QAB
5RhgnyF+Kk8+TX5/cSjwd7rHLQZH/oQHtt6C30IZlJbnycFynxkeIjpFaYi2DRhk7DbsiUV9rGtx
9RGX7EH2fy6q4QlVDXlAznLfl5xTzN4GeooOktyEftOIOQmsxpY3hPKNUHQ185mhG9rroiyfVN/R
QAGbC/lZEwynJIj5Gm1IwkA1MLOazlq5PEHsQBGFTitM6yj9kktjYyh3AUzAU64KJ5h1Qc6S8qIn
1ygusAIEHhvwJUNbfaP4hWibdFsjW+owIbCTr3RE6tglpE8P5ZMUWbopoIvsQNT4WyEodszWs4NZ
y4obMorMYIbxsyMGrr11vOhV72S88XOFkXPK1X07I4X0O8cI58Kl6jFw2+pNdlupebjFnxGWdTuF
SyfXnok+32J7P2mGp2Omr63QHUekIb47XZj6fqk5bxDq8dH0lpe4cfau0Q0XjrkzNyNHWbMcIy8f
t6jS9kXyTfPagfDRTr8YXdYc2lzetelqsUlYHpPWC9EO6Lum4XiLmM7aE5G1N2vboFuVnUGrsoFm
OpwS7wmsLAnQ6fKi3OFzNMSvdZ3z/NTW/dDfuHX0VI9LD1e3ij9pGlz7AWAy5N4ljC33svjeB6+B
9OD79T5ncwxICSIrCh5yoFW6cRGiuc8mqjOty/SwHxZSPHJSBQA01HiBFu2OCIvRC/JSLWwJWcTl
shO0iGKaZDd7XneUPMGfZpl8tXKctlaE8yCxzA6jkIDXAsC6xMqUlTUZ0EZ5y5ZFXKOqrYICr4bs
QRxYdT8hqzyMmmpXkEq+z1ItlmFjwvQPaygeH03wlKGi+ckhp2mfpgF3wEgEwZGqOgdOlFR74Vdi
18xLfIZp4+xkNTxiyUBRXfvvfG/I7qpUM77ZaTeclyR1TiTvEBtazPlpIOtlZ09CPooK174nzRfO
8NlNXgkO+DE5l0s8AmKu44tFxy4cULDf0DImkmVRam/VoIqykdPSSLDXrmeqsZFpTAFQofmqLLGJ
0Q2CsWFel3Z9vKG3oTHe0snfGpAXN5m1NZMieucgEyZ7en4lAMkPStNFtFtwxyhqb6qhqA4ym4+2
HJEtTuMt8jvKii5BiJr7nzB8p5vWc9F9lgmi3MauKIPksplyfnzng8ng3YkdRbnHqX9H1nVFZ8CE
b0APMyG46UjdeCRBFaV2UY47lit7y2o+89Xb1bYATJThl+Yw5V0HHGF7jsJ0XCyVfRxz3HUkAeD9
YKtmF8L5Rgha55/x4XlBk2fkPETkpg55GWq0vPHQmC1smk7HlFykhy4XRihlkwUoCfVzn7f9qaut
b+1CShUqKDI+kw/mkt4arO5bRaDBHe6f81Ln8Pb9nIS5ophCDVXZ6qzpNzl67vMksrvURNyY1+VN
7LjPted3e+rrNlQNj3+n1K4y9H080e8oepuzjJ3Ma7ALPwrhJsLH/utSNygJ+5uZ/n0gieZdSP6g
y8A5y7SqsAQuHkx9wuWBLwdaHqItZlW29eiQ1AV68LyxKVrm08SbGg5r2Is+9KyRtiGJpRpfRzd7
BYV89ER7p1BeH1OyYDccIc8s0c/kwlc7MagtRy2eZLr8YT92AByMVL9djMHce2qijbKw6dLzRbVt
XEG8HL1s2C6jk4dkulQ4sZKlet8KjbbJNE3ezqTHzNp5Ned45orGHsPmxMnLm8CScRzsNZ18cHj1
dAQ2RpROpwQ/bUDa8WvV1/59Fmt8kd6agNwmGxSHyxOKijt3AWSqGsMkkUDf9Z3t4gaU5AlTKGvE
VrgzSYxu9lhGyVfPaG+7xTznnvMCyZWu+EtvlPuh977JcW445qbAWowlC7vS37SEPxtZk22w439r
epmHhZZ/SsgU3rZr63/l5ORmXdNU8eiVLJmP97GiF5AYC2ULvB0inO9kwgIddoN0FDJfQoLBuZsn
jZq+QVZboPcfOZSP7Uwq8sBOjuAdX6DetNuqU5XcJL3LXN85N+R7QYgKiZZmdqPyYtjRxUGBUww2
LjjDbdmh53YAPbXIvYDm4mMuFfKYFi0DEFa1HtuqIe2S0riFXkJsr9M/amA6ul3pofbcSS2fZIhP
ilabwxlhZvkwByhQwjdaskG4R3bU0HMgBELHMuWJ1y5Xbt4DbfI7Ohbfx83/r/v1+6/17Uv5tftf
6w/+THHBOpf0//vHP3bf/xx/rdfu9w9/wJya9vP98FXO16/dUPBP+UF//c3/7v/8Kzj9D514cIqr
K+X/7liiAYhVJH35T8fSX//or0Y82bMmPVj4DQiwPJNX4P804j3rXw6wRiSWtHLXnjrd9r8a8Rbt
eypiQIF4iND26ZiZ/mrEW86/+GlM2F2Hc7ZpOv+Iyur+gmFHqYjEFN7nOiyA+PGT2sEbnbqGI2Qc
PG+uiikYay+UMEpo987tJZ2sraqiT3Pl2YxzCW140ocGNhFmTyrheLi1ao57vhwtzp6wFvDG2N4d
4WENzYGqeKyrdd6NXuXYRv0jaDrlhfPQvgAxyiVJONzgp05q1fObcacpJ4Z5o6nJL/bq1qmT2L+I
Wdkvld4y7VQmDgSip/hLq7D0uXdq7SvPtHrKrbpUX1chrZud0k5Mt0ntbiU9LvzP2ZmpWuPtnTGq
HoEtxn0WxBpV5tAjZ6C6qDXeLJsjALFh47ZZtfduS8HXlWkrNgiE1a0hFY7aPPE+FXlBtFDXjx63
BRfhwWBKfeHwCDwvd+ggoRmot5E30XoyWl0EUZe/inKpzvFqIbC9RWxsKfIPMuugehmR2Gh43cIi
sqZnqun5WlLkxUfRDQQVNGVzF/mL7uI+RbWqq1H72JPgseFAp54SHVU9aDL61u0ytu5z06Uj0EFH
4YoAy4YcSmWR3u6iN+OCu4jefEeRiehJI8HvUbaMOIeGVI3AgT738U3UgrrLePzuV/juHnhze/g5
YgiiKCb2hTfxTcFeiNrKKphjS0IqbzuUOwPAww4BggV1CHOOPbInwIlDe4S3grnnmwrFkAWT/rf/
/C4D4KiLpqcdKv7e/GZisq05dy/Nqgc2/YU5LVP06DkT3qprHRzv0o8r1LBIwExSO8EI+W4Eqno0
IMagMdSUHvZaHk2B98mw+UpZytM9myyiG9X71tFKevulUUXb7QUZSmnAEWw5+xWJ9cGbltDEkMFk
lyY0aQPrTTFbThvUHszckZzN/AITM1okCjHh72E5Rmgx3oQWccS+sLFnaWFTV4wVNp5bMw2PxmJ1
wvSRHh/7ZhVjxnXWf8myGgIl5mi88Ryl0iCpW+bocI/QOXAeJOAjcN7058Jb7dn0wPhL3tLjgFne
XDhyWgEQb2IItghshSrha1lWMeQb00VoDRcRDaZ+x6HbIQWPT6Tnju5g1JDsTIXBs9mOJvc3Ww1Z
k8wZc9MwZGQvJpPBtZSGeNHnmXG4iFH1OKtiu8Uix6SGFNBDnGa2uI8zRJ856Qj1MbVS2Forj8sC
J5Py82Or4LLmktyVJCqc98wEZu357bf0imWID4zF04o9zeaXtYmYwz0NK+mWoGHEKEVOUm7QOROq
FvoE6CngLqP/QsGxOv/0VZ/vrVOZ2372sXY5K7FS0o2/9eeUwtrzY7QEbLjgk2qNB8JfQZvfpRo0
c+VB4HWad2nbFN8W7DQUjo7GZ1U0feogtjWv3NcDGpazazBVpJmeq3DdUIkw8c3l0IFXu+qTh1sr
mzFR8aRZoV4PxLei0sTij/gD1Yw3hHVjA2iwTY0jfWcCpxpK4uLCmTnbLeyN6Jz5s/+MssVJNkx5
jWuWzITSM4xvPvZi6KIdbAP1QFvP2nMyK3cL9VGoj7GNV7zvPmfrvDQo2HSeC79QD55DMeaakgfb
lJPkYrgBF0cXGldXroyfpUYtHvY4/emP+AjHQ24ZGU3Kt116fb77uSWT0NoaxPiu1e2EwMukJj/G
MCSPqBlXoeEqQJfEU1ycgUgUPrCc3k3wwLdihCa1hbPBOA4iDwcXKRp6hqm1JyMnSULJjnFfGU11
Lcaa1KUxx+sdkA/EKKle3J02yfkrrC7rFMk+PWSjZ3wpbHd59mIEEqRskT3ZSif9arVqehxsez42
ZVVu56zAjpRqTzLT5HNiim5DWA1z5cL38GManLmY6RUXQ1Wc3H1V0VMpKSpjffmKNZNZEnFe3Zlw
MJcm7VtGJi1+6+OcZ92ZUBUyNMmEYOC5yPyGgZxN625N22SURPImUT/oQAh6lGssp/2W0Lm8pXWq
uZ1P1RrhWZDlaZA9AJSSUBcZ5t7YGZciZzW/X4SVHEfd3/dMpnfLaI1U/XlzMw1VDaRgiO6qUbKa
zG7AwbUZrkZVfbDiyYCO5HdLvB+H1Lo0OUFoTxFux2caf/KhmMRdQvv+in8vDqa4M64Ror4HRnNJ
UAwIOt61+JsPKOFJao8T/UOMrfEsIu9xiU3n/cDpY18ru5YYG9At8n4wLzuMSKt48acDgx5K3sa8
6zpggQ6OJHtb6Il+gZ5VhHPU9vp9l9SE76H53xaZJNYvsyRjEPgFzRYWSqVvkiiZPkWNKkk9FoOd
7UBTDuVhbosCMSaBT8ii2jr0lN4/mlWOLAUxKnonsmTeDRD74L5rzXF04PCs8qxPiu39TFDpcNub
+icEZ+2agzr3AQifxgnJMuovnbNkmxFnx8PsE9wwq8y4Z47cf4MgIj/NyI3aF9XrxXifOjKKzz38
1WNc5FXYtPKDOS/RfUJE1iZ3ck7QmGYvkD2tkLytYHQdMq+ASbyTsne2nWnFczDDGCn6SV3aJc22
kT2b91najx+91CFbtEycOx8q6js1TMxQ8yop6ajQdb51tSi/IRzXJDRu0LV7KCX2xhUDI+aycINR
OOrUdGX1KR16Edp18xQNjX7KdfncsyVuE4RUG1o5Hw0zPmZglS/abIsP0xRDJoR+iFQs6oxtxOzr
TPc6fmd59XAzuPLgDRMzYNfsg0Q3gPLg51PiMiW94ApJiDITAf2BY+NAWsWs3XIsMfd6mlxKxqw0
Uoz3ALBdwohxwkusyCEJ1DmHw6LYGLSpWQsbsU0Uc5DY8qNlEwuspZXDFr5bzRWAHs3Guvdi4dx5
WLMeaknfL5AVwDwQP32YL2qnuf14U0tots0QPzl6ixtfaunGWFMg44oGt9+X5UPKsIITOipEjH5G
ulEm0+9to6/skN6B+jl3SXLH6NTa5ZY+P4IOHc9zZ61gIP7h6MT1DSvQeEhVl3abvvTvrR4UaFMN
6O5oIjdni7yiK62tYgznqpu20CmhxyY06U8DtJH7NHX0jYycI1wa71LDG37SuyJyAlJDn5Mh+YAy
Iwpt2/DIb1Zj/DQ2fhu4naJj1nbWyWlKdVB6bAbCT7ydMzh8D1BlJicoS/DXoecOjtzN8CJ5E8o+
DxtltzuB5wkwa+LTLUAdtm8m4TGT4cLHRsmHKKvdXQdnMtuyHU4HJrp0jQo/D7yIzoSSxhXpAt5D
mSWwMOcYoomYhRXoyTyclRQoAkxTWTv+jbqBZpl44Rr0+wVEtvPNK5Jpm5LZR/yf3xefG9dtD6uq
c1uspVVTdnBDR0Qui6B5RZRe5mxTrW1InR7T0Bu84WZauwfRXPThjNGBwbxLi4CU59uF7Dbrif0t
v8EMaiUjUZ2KNlCfIsPO7fo6lCp2rgXjBQz/WPGDkXy8wKsm8Zobph7vfIiwvEA6tWCOgBf2t3qI
x0JdqrzrtvMA0jjMkLjfd5QBN2bRMCquZiv+4JYEFgMGzaixhP8xHoz6ukTTGisTJzt03vPF7mz7
toX3Cs24bbXNUNvDiW55f1ZGO+9hFqg7w+67x2QqTzRNzo23qA16m/Zd2dXdZxBI+h6ohDwZpJXt
Zew9U6hNO7eTm9GV4j6D3IrWb8xzjNOqjIsT7gNke6m/LDCyUOxmJNhUzERKE7XMYDE7VHlZIDvx
TUaeGASKAIc1N8SKlks+SK38PI+qu9P8eXlHg0im27hJ7eHV65tHOpRVjqQhHURk7sv/Yu9MduNI
0i39Khe9bk+Ym8+Lu4nwGMngLJHUxkFRks+T+WxP35+rUqiU+lZmJdCbBmpTKEBJkQpGmP92/nO+
Y3C4nSJE9TaxvIfaLJ4p5Z2TKxaGXkRwW7z1U9BcZodBLmW/PZzoT4QBo7MlZ4eaJSzmJD09z2nJ
/1PTRhF4vCMvjIE2LTZqhQI307NO7HprW8qPvbtYNu0dT78TRoLSmP4iXPJL4MAmWUJyg0s7iS1i
br/Gp9hS0D/ZifroLGvm20kzLrL0XTO5/0Ey+B/QG7862b9/o8C1eSLg2SO38bOZ3FcM8y3x92OB
I/WNeypUg/67GZRfAyGO1OeaFdcz8+j3ZP3f/e4+oTTq13x7jdH8GhJowB94YplrhONGPrlIf2Ha
pgujBMnSejb4rm7vMQ8a0xpG//Nvbv6SteBFBpQi8aOQX8Rx+Ou/HfMb1fCRqo/gkPjb2YJjofby
Vj5VGS2WoW2uFaAj8M+rPm4YVwSaPXeAKvaKY2zP5tOf/0C/BHb4eQCsWZgc8Uya9v/d/xZMwyJj
LjOeUvZpspAfnDSRT3rxui/UIvxlluyXDA3f0KYU2ZEkpyjPhUbx8y+/SMaFZE1XkyNTwXWfcF9D
2+NtYPT4bmU9vCcF5JabePQHtFvlWhHsLtNISoqrMgAE3xOsblvZ6rZUo3lTsslrzkqa4DSSPthh
FGHqt3UVMasTKvgiYmEFqDh2rx+la2AcbmeQmekwcLfAYvFWO+PUP3agdrq97k0T30hFFsL+hNWP
rX7kz9zSY3zRXPBiLqD5SogoPat5nQp6a1ch+RsO7urRoj5hpTR1/PfUnTWvAtPYfB1zITbWB6bg
Vm0a0b028HPvA7zU3cFfoxIL/6ECeAVN+aAwws+7jpjr63cBpHRb8+b7L/3/tXAJnkjVXf2t/1mq
/C4//lPH/P9I3kT1+CujMcBoMid/lDd//6J/+ozRAgPbkyuMiTf3D5Ox8xv9kxCXVqLSD1XTFr+5
WF3c1fZL4psr6R9VTbEeBB7/geADiAz5Q9b9/QRFEf6HzPs/nKiO9UswlFSQhyFarHFeIt9QrH/+
WCnT5QkDoO6sHcESHWy5O/YbG54I+wXXHl9FXHowWhgK0mapblZD8Kb1eSdvq2DIdqaXiscMoWfZ
KTnntwkjGuVBBhCKwFNgGVPrDITfxEWZNm3o+EQPNzWti+y4YOtQceIkV2g99bWIcUJvallcg9LO
77za8g8MZ8kh8iLvYOcF1oS4NKiZRDw86DRRJ5zP7oVbFpsk3VFNYgGPU1Q2ozp6cz19ykt3ycMZ
IsjWSgbo88a6GK3q6KFubdDdqTHNp0F8znNdv+F68i86tyILecvv2Y8TmpnW+2TO0/p2QpAlbuMG
hdiuTfAnbD32MVfSeJ9q1X7zmjS4tbLKP9Eco77Gs4zabVI25l2aNAPFFZZ6sJFbz1nuCfI1ebaU
W8CKXzNRY8BxOB+4HFrYRCDf3MSiiq+6RhvvlUu5zQYmPQkR3VanJW1fxmBu6c9caTCJP35Imr5/
DIJ+xkFhaPV5xey8sPSAVzc4rNRdUOsDTr2AhKdfkcElSbWRIlWnxAlyD2OCqd5aIkTDVtrTM1hZ
lmZDVXwu0r4/Bjrt96adpu9aDMV1KtQt5DfnnKue4zPS+qqJGNwrx+v23ux3MkRewAwhlkEqfp9x
/oKpB7WXV2ngb2MA2svOKq54nkY045Qu/9A5YIdoRsM1xYnGMXNEcmCwXlVxO3nO+zTJUUEbC7lx
5j5cuk5m4nMiPokl0MrhqvDew5Frc/uyA93RnS0s6npMAFiJRu0qYtSu7dRVSVggAa2lLPP0LcX/
yGZ8XjOmVUFOp8mS6i4FF7SxcTtcxyAyQ9rY6QxQfnlpqMu5lihGC6rahO2OcZ41HPfG+CPtO9Kl
fSO2PyOsADhkV4mtocDoQZVPedSNRh9kp82a2a/MG2ApwX0cQdObfGPXQLTcJssYusq5SYtgfKdd
Pj8JxTgxZXiSw7EbFqxIyXylNWZWojB9heKTRS9G6cbGmUtum+2CyjO/YHPsBu6d0/AwwjaMduOS
m699UETsrKt2uDeHqv2kSH9tg2Yy33K8bGzkl3556ICv+Ecb7wG3Fj+oYQ4tQCNLa0ac72mJ3gyR
aX20RpFcgdO1P+NnEDTPkpSJt57SxbGJK/9T5gnvkjvzIk6kyIInzbMVayJe+rXfvBiLsIm7eu+j
9b2RdQo+4Gz+bIipAY2rLGpo3OWr0yguN51p1hUrgqh6yWI2qNtCZSwOsfyp197DwYI2kDUnP6r7
EN8ekYIe9eg6kTOWnF7dk20OUPxTPs8sGdHqfGXvfIJ4sGY9xsRx6HDENWloY/Dd6amnN7c2vTOT
BpgrK8G1qTDuomYOnGg4vbytETRcL+iAf5Cj4RzqVORzaAR9hHrnKfEqob1i9ucwHXmUL1sk/TQ7
AF8tTvFitTd4/Qj8BbXVPyg/tXlhvTJ7RpeDz9uaKH8cZtEAOXjGVesbU/Np9JYGzZVk7ZH6iJhi
ErF0tzbboPfa8fAyd2Y23iGUGRwumiYKNFvubAEc5r3hJ+0nyiymry0XylcwvubF6lI6WPqpQ1q1
kN4jYL5We5ssQZSH1HeX+K+mCIKRQdOTKZrHOO+a0M+DiVWVQr6HsBO6lXe2m6WncqUq7oOEmtMx
TqNTlnNs1qbdHmZRPsWVMxw6NZGoJIyNhsseywPUtFR4skd314pZf9HWOJe70XTbsLYGGq/qZASR
JvzsdhYU0AxXdtG69H3aamrSZ23E2DcWz65y8eIviEgSH5pl9j1FzEuX3UZzZNCilbm3ZsYSQZuF
enDLQjxAxY7vOBZn8Bi5Po3x9JE1fPXQEqh+GMwuAg2aZquk7yIPEgbEB+dVLOwROD+Ca16NDhMf
K5/uhDsxcGUGE9gC7C3pLE9zm/wqezQsRDg8iQ9wbPO0287lkt4MMhjwWnptxj6/LG+yQPDjurmx
Nztm201HNJWPOje7jak69xpGmntL+kBeHKeKMKnoPnq0uQKdsjSfnlhV+8QYR5b/ljaWW6qQhvLQ
G21N+nSJboK6aR4x1HuMsoV4x3dMQciiHPY57QCws9WfcjubKTppDX2MzWJhG77gGCOWsmv7aABD
5XAeDampr2SvvVOSJji8puyuLQa4Vq20bqOaXAqHbE6/t45WU7bEM17H9bbS9lqSMtR3Meiyw/p6
Pql6Nq9pq1dHjgvvwBrBuAXoO+LXkRPJoUAnX6Iewls6Yz7ZqHaG9uiIfjkvmO7vZa6mA2J/cBrN
ofuoorq8G01nPPJ5ooyWzLZil+Zhk+4m2to3ellESDYpwaxjBe39ZImShEhmBVugaia85VQcs7aw
bzHSRBftBfOp48FIVlFON5Sxv4s6Dd7NzpI1lFSnfUlxLH4SU5SfutpoDkTqDRrbR44a3n4JD2m7
sJztWi+8T8csZxnJCIJsM4V5b7qvsk79W7mgtffJemiCupHpQbP81DulpKwfqyV4AWwHXGxMuMoC
kWoHyN2VLxN801PwmqJnPpIv79o7VyGmHS0PLN9Gu27uQNBjh3otXexqeGNN9sDQB5OUFnmKnMzr
WurlUbVxOLNfX/ZW4nr7JnC9bQIJLdpm8XSvTUnEo1dFVx6H3khenMZy0jfp8hHfooELZ6cmgju4
jt3VZXExzXkeiXHENI8NZ96yUmF6B0trdG9tpFlIuvMzqZTqPRtn+TEg8vRktnFzhhL41FbesqM8
vDx5bQelfKApxqvnB7fQrxyA36hmf8t699UbpuEzMCcmCFsRQ+uc4dULjOzI2r+4a81iN9mlcc0v
hwUqJaOniszzN0uDx930TZtj08FsDPxrSKnoqJf+3nKmfNniVMZ51yg810++O6hdqaW+TzTzDvb6
ySmNf9zh/3N7+gtzCHtHk2vHvzaH3Hyd/uv8VXVfl5/uT//4sh/2EOu3QEiXKkYbtv73WOWPKxTO
EZ7pFgFJweSMXfCf9yjzN4sz3Vu7QajssGykqx/uEJ8S4LWWkz8R+Efgyfxyb/qzexSrRO5Jf6Qs
YIpFBgOri3fFs3G1/nyPYt9dkWV01DEYDVTUSln9buGKnl8BQnWuZqHa8TF2uuhcI/MPpzGt+vuk
McbykONvynHsjVj0CXsCO40G+nQGxcqtmeNtTM4pvScGIDDcVQDpgpaGPw5JmuPMxAq5iERPs6yc
F7ca3wqmU5TY8mlsI+exz2t936ngiRkVL2LVUHZQu0XE0tgkgsbWXV+GyQZY7me++dDh1OVD04uX
ABoiK2AjlQ9VNeXnTmFsq6k7xGLJF06uB+fe8eYbaoWwtRkmuzEtDZJ8RvCtkyyTN00N83ozllqd
gFQypthz3rxZIxEJPXUBJYVdhvmKF+o7gEh5yWd+/1D8qfsU+AVGdXJypf0DXqGg3mblcNK4H7eE
QfnCzpm4ashq9RK6ZVAGz2MGaX1bFb5AZe71xW3GYOtgijiWTBlUD3fqRFMq393EcrIhILLsu7QP
oH8ydmzQgBQG8jSVnBidpdH5/GGlHMTG6zBYziM32xL39WCZ18rvAnGYHLP4uOQFFtURIftFUaCL
Hj4L/raiTOZbvymMbzqZgu1stdE5T+bki1F0gAW5jh++/3zd+lPxzlYEkPjfk8Q8WW2qUrMVdpk9
9kIN1YG5ZiRj0GiiuLzIDG79DjDvkGy8PpUIRYzMCeuYPJ+uifknCdBNHBlHt+tZyyQOjNODpS08
fVmEE74y6vys7fo0KmwuG/KGw74Hnf7SEOZ092az+EQEclvzGCh5L5BROWdD14V8d9IZXeekzLrE
biHHFh8V8NvHhHH9pW2S7hpRPHjKoPnsE0sqNwToZZ0ZA+OrqOUyx8KfhTvo3Suj4ZcNLh3fKcNG
SkUd/8hMO8bO0bKrDg7N3ZvcacnAEPR017wZTwZY7Aff7oJDgTXm2+QSfNtGqiyBlluA3cJYMiCh
kYk+ucmLmr8roBx372IqYZq1rZHf8GZUtUdJGXPtQ1QGyyXVU761AA2HuhfRpXShUcOknvwDrHaT
Hs/E+khzTn4ofQANPP7WZMbcp6V/yE3RPdIc8OL0BRZ2dPnKnxfq0cZ2SjbZoA0Ql3lxKeNI9wiS
rrtPfU2m0pPNdhB5dY4j38YgS2MJ3uiivmO7StGeYbn7aVnKOye1WYPFVbDB5xvvSsyPa3Km30kq
uM6J3eZ0DsgJm1DhWB9mVCXWYgtpFJjNfFC51W9suIFb6itS3lTML/uqH8EO1z1pB0Hp3naYOoO8
iNVdGJUYun0rv6oMqiZ6JyYTxbp5BUfQF7BhmqQe0DcC+7oAFzGE0yy8l5Er9oXVePy+qCz7iq31
pBZ+9boJ8rACEDOxP6xJHC0Z7I+t4GveNKRqimAzuqWOcV22jy3m0AzBxUx2QzKS5jXySn+YnUVQ
1NkmN6PVKLhsTQ3F11kOsvUojbEWoyYDHDfC2FWgnJHAix6DNOhLQjwVEYCJg8LcDCzLw9F1l6sp
aur7BBbrc8C/34IsoecMD0TtdaGrY5bPEalZY3FXJsXk5+R/V1DGRrTDsCXJXQNyqRq1xZmVPLke
/oftXOChlarMrliTMVmMiu2lyCR+P8ttui0VpPMhEXG1nZaSFizR7lS6SISi1rupaeh9ynNs4ptB
JhQtTHNGWqKiK2eL/1bdgXxhqKrgwtX4Au6ZxjiVOneIXr+fLJg0om9s7/JzUfMJxWVkIietn6LG
5dCauf18VFPph66B0MSdlMDBxlt4wij8I4c55njGgiZtPg6TfGCi5hv1iZrpO2FahjSe68skoDCz
kDWC6obH9nJDyKNewrrWsJ6HSl8U7KGr/4jN3x25fzUumZ6Pi/Vfj0uXuurfqp+stCyF1q/5fVYy
hf0b1kmXZREDDusHqEu/y82Iyr8JdikCvr8pgFChLP+TaYGLlj9iuYSl1l0pqr8PS7bNHGVTJIAY
7TguG5+/Myyxt/l5WBL0Drgmk9nakgTe9FcrbUPWQEZoX7dew00F+3mJvQgImLN1Wjdfjh6o8orw
QJxQJZtazSWWhbEtsEd/6SLS1BuaGDk9YY+38ynRLbmBuvPcd60kLIEq9e2NXTbLdU1SqHhOtd1e
150WXzIrnjlG8fINGERMb1k1o9E6pIZbfyBv78lT1wbjeJ4x5E0X1bjVLulzkvEL2RZYCm5+WclE
Wywd/QbfxrUYlgY7ZOPHWOorLUP87p9GhE8utQkphnEWC8IXla0srzC0swK394FPQdQumipiErab
pBesXNNpKAbvaKiBIaUu2YertJrvx9Y4yGyQYS2D56marUNCdwchuLhefyqSrs+zw+3JGixSuIC/
k8CEtLPGTfHrTjmdbuzPi4zIHOQ1B0WikkQwSVN0W81tUpscUeTCNkIPKNUydc52pru7rpky94q6
KOedV2S5ymk1jdSTdht96pXd4frxVDzTOoIpqbEnd24Oym+SYidnOV3qzC5Su1jzN6wxqj1h6XKk
Q9ROkt46ZumMbXPGatCMg3eliVuRXNyanWni7pqSfMhQRIJYwUU+mSXB8fEKGi0N2nB0UOD972Aq
z2vCBjP562hJJtcO5j9RP2P+ggjaZN8CEp/flkjwZLyRVeeU5iMNluae+/FKEINd5b00+JxQB8tg
vJ5iTlmX6DEvlMqjhIzbkJ1SclDWThX5PTqk2omUKTZK8um2W/ABrG2XvC0JgoULK1f6AEzz7Gd5
vYt5LOx1mub4J5NbDKPzQ+8Odkq6sZBhGqik2hZtH599HxWTqYRXeyszP4LoLBi0C2txTiWXhj3X
0e6tlk3xLvvWtPZB3rnktlqSGL1Pxc0Gi7aCt0Bd1rmzGJVsCz9DhuRoHu1q+JRkNjZnXdsO5oSM
hGRtN/GnWNniCj9iuQfaYhxGywb6wbe7FK7VHHiEzPcVRuU194cIZ5uRR2TCZ5LIpciv1rw9sRnZ
kZzL3eo0TgLVmt5g9KO+sK+BpOkzohW5l0wsYT5wkeemsfcFAfKhiG/chB1OONjuNX4CWgrmPPqE
hBLsmScxBmWWvctbJqPB9JoPwNtunMpz7td39m1kdiLkGgggpDUvGqPhBo2j3/pkL/focqwcbKsR
32pzEbe1k8cvGDHAXrc2pHTmsGNXEFBZUjc+ZNmYH8DmRrR+rb3ftFcfGlcFj7FtOBuSBfKaVrOP
WorbysrArxCsvsZu6Fwjp7GkyLrp2WnrdcrL54mYvSVfS2eZYdTQqYBhkP6pB1faA17QzvpmeD5R
2J5XY5/rrD/RRv6O1yCATxNRQ20MSxts8tG1HxtrmhMS3GP9bvtL/ERQNxYbeqidzyRP00PFBM7f
0RgnyPqA3WkH2bTDWFABTCA9n0Gj+BTo7mD1z3uriv3j7LjRZmoYIjaDS0SNuc7kjU6d0pUZJMMT
z3tSQLw+T/iZsFtlhLXlch1MLNWcPAqOhpc0FANbrXf28YgFiMuF/2V2q+QuKPz0OEZ19YVVYBAW
AqVo04C9cndLbQsyq+YpcrOHvlT+CUrRHOa8ux9pTGpKTIWLJOFvRdupJ/ckWOsQYsDFh9uJSmuw
pZt6ENanuojprk8GwEeTaWch2GjnlbbRILQoIn+o2TMyUavpmQBsRXF3Vq+mIxZDoze/GzNZhVFa
/beYUOWWK4Xe1UVCTRU48xcJeORWm2zvxtnXd0vl1HuzgH0kCdFRgjaJR8/EwLilkD5v93Xdxbuu
bsWb3wwqtOehfshsplDQCwmoomwwNrbZx99I1oljNVbeq4WAaoSat9ZOc+RsE3o53Q0RkSmsak5+
f2JL5BEwuciWTiU+kdbejk35IW6D5sqfnORcB6pB6yJc17cC3XwJkgXfLc4+BxpFhms8SsJOLAWi
sEnWOJrxA5rmKE9aLcuwBXr3tSyhhZhzHSD6y/rCdSrbGlarrunOmO4LLvTDkgeXdpROyoSYJtHJ
cg0qqITZhtw9sk9FN8qnrCuai9f4YHAmsyP0zmXowQ5mNqt+P5/qOUrRGCJ72o5JKm7V2OTPZVC3
z7FfqTuil9HHJo/Sq2EG5Z9Mvv5gKnvZJaLODgtRrF209O1GYJyj/IR/bb1FBRf9qSo0M2jsDR8o
FBLLJrW7KjRSopmuY9dsEhJx13YekUKPddC5mgwWxmU+LVcOq9acDmRTUoJiW7yO/fRiz2QonTFx
D8tMndwWRok+m6npvkv+fmNbR1V6F/fIx24mgudFO91R2JoHvV+xB910cZfuXQx6117aNE+RN+Jm
NvDC53Bp2OuEPn5V3N3YjhubQoH/DMf/1nBsCQt9718Pxzdfx7cvP8/G//iSH7OxyWyMEGhhqCKe
80feG8bFfw7D8jd0euJenM8O8qXJdP1DOXT4I8f11wiYlP5akvU3lEPz165QJmGgWK6E7gaRmMag
1Wn1/vaQgpX47/9l/m8swfNYqca6eFHnfVwQ4zglTYPdhy5ESMinbcmB1mfXDFqTsG8Lj0ODCYFF
WhwG2bXXTiQG+UKBUX5Ts3FmNQvyBKBW0wK/GvhwsbC1x5c+p3C+jxe9SZpFzttg9Ec6iPqMnKlL
nOswTIv5MFhd/VqN0XirMZvObCCr9bmvlQdwLVLTPgWFgesrw7qu8nHYeCwBDy400nrTJNmco1eC
dQxpb5/v7GXx3H0y+1N8DGxTDyFdNOJzNhR0tZMWz7+0ntHeprEzlqRpy/k2ijhfNxSs8G8vm3LJ
13Kh3DvVi7IZqcyBQRNbPX9qdU4jzyTtlrs2cdrlRG0PCJmyXGbj7PMDgtNF7AKb05aldS9J7t8H
dhY/6Cwfb1sSfOQ0ij4ETMyHOupq/CGT8o5lUFQtWaZax6yi+pkL+JBz0thq7puLlcsPtCf3nm7C
KRJ13x4j00mHQxlJGAEHH9tmvPcUZHcRUrajKrHNUYRuLPpRKnPL0W8QWDPrgYdk3ELAyVyiSlW+
S/3CKObnrils2lXGHPun4g4FKcpJo3G+yVsc9/TOFKkK0FbhZewbn4vHZrCwwVDFB2wsYj5ajD1P
Y7Obtk4Hsp8Xcxg9PPvCGFHHWuF69VF0kxldSUVQPmztblzfOFRGooQ4em/M2URBDPWcxXjue+xu
4sZcyqy3YN513TjpEmVEwg18ibnISP06U6dbqS/91GIY3zi0CRXR/X8OvH/vwDNXbv6fHXjTf12+
zun7z1XSxJb4sh+HnrA4s2zStcHKIP/p0BPBb4KcLDsQliSkJzl+fmRrPb6ITUfgIy/8sj1hsSID
0/UtAk1CYsf9O2eg84uDWNBhb5ske4nycn3DRfzzEdhyW9RTXGXXilj28mZzWwFZbnu9vRMJOD0m
lklN2XJM2QOWxqmWSeOoLYmr6gjtWRxYOC5flMUOfGuIxtnOGd2zV3Plel+JB3phSjWC0u2x6mMg
f+jNxbTYjwa2b59YBPd1yQWg8CrqW8UCxdBhJaGzBL5JavTe/UiYDaxm4/Yw9x6tCjTj1p3GXryC
ey1SioxpB4OZC/mhKs8ppo3t7Ht4EEbuA/Q/xdrJ5+SaPWrb+I+J9PQKMsTeh4JpwhqgKCqrcPQ/
dT6f+J2fEQ7B3916vR4OVTP6soROWcIApeU+x6ci2vfE6NTea5vlzpFFhVllmTK+1F0M/amphJde
/vMB/Pc+gIwAf/oBrFWf/Ff4lv/KmbW+f+HvH8GANDofLlQlVFd0t3Wg+KHJrXIdehv7TcdHx1sR
tD9pci4fD7yg64bxD5qc89vKg+XjKSjQkSw+/85H0Pb4/n9YYNp4HnBWuwAB8a369vfT449jiM2S
p3NnT15r4VBgfUi7eOkjdCexKaHHGj087qbkgbkZfSdrN75t6VdDFuCAZGoeO4DI1zxEh93SGuU+
XsiceXQAXOq4OuLOGc5+OxGQLQL3qh4q4xHaeLOtq9i46lN/1ZBK93H0m/lD5mNto3U2Mw5m09ab
suPu7aLvEKLS5l7iHaBeeYwIdLZU5fJzc41w4mOeJhfXKtWZvQhadRvdT7q9nbs69HgdV0HQPGI0
sCj48qknK9yzaUdhRFQlTOL2y+CYUzhkyPXlqLKtsqrlEqkYC2jPg3wUfODQ8+ksNXZRlpn7RWh9
cGqAZlUsD4we1TP1yNmua9YtUmHvilndqnyxd5Do+zcle2tfeKUPGAUzl1W6fP+SSzivlB32lR8c
F2LsD2A067A0TX1scslqsl7Wi3szHtF5btUSiG0L025HHpelBv6KjS0ai8uTY4VximwxlQOF7hhz
znnqXRIzgClglQ+BKKddj482KIcjel2+iQqJgBiAO0cxEjBXxMFANNqCbfno9CNbDKScHXfoPuy5
n4fFMsRb5RjujiK+z2XHzXuey3NDJOyqYZ0BfHfefU+gpqzbHKyqIT5dwGbOSql13GMAsLJf8Lr6
uYRvqCPj42Kl9cZCF+VCjbxgDVBkpA0ujbX4cpJsjJ5w9+kTpvYxxEiD1Wo2HdyjxhJ2s7DDipgG
nID4MA8uQh5S5i4ws0/N3NhXLQQekApwtxyrBQJAUsYq4kNiDfTQtXiRi4Kyvax9qjv3oz/r60xO
JO4QYPZGlYqdKXRy8JryTVNGklHJdsgIYODRmqqdCDLj3Mrgq62NLOwB+oa8J55Y7W7cibeEr+J7
zJn1fojZB0mm2W0e063um3prd4XYmL1zamVmflpsbW5z1V3NRv5ZL/a8IwZGiCvlaedUcbnVGuoP
qiFMsCprQy9uYMJrRCWbltMtJNo2zE31YnR9ScJrjjDmdXBZqBk4mD6/wdoK7L3LILqPrOyDkm58
qQSlfZb/OQ46QSUJ0VyncY0nGPW411gkA3Io0vShHEn1UiEn0LeS5YC/WT2JCjwTBcH5gwaTEnad
vrBiLvaontMODcLd65z1lINVY1fN+Gx7aQgctQrIps7LHX7MZKXuSvgvFj2FXuaeTIkDMY398SiJ
WfbOCDPCEENo8JT/APWfV9EHRidhxW/dOJhIDn8PeNYgm51MfMCHLTa9Ybp8clsq7ZPG2wYDyjai
TfWYA6S8i5pBnM2+m5wNNUkJjSJGnuzcBvrt3AOOhgeVs0vs8j0/6nDtGdgsAte4rqgOOABGujHs
/HM6wqTF4A0sq/UYu/3RCD3N69nozjl6SQGRyhLfCF/QpkSb0JmuCdp83P4R/s5pqEb37OOGW11M
D26UtbsJNghUqJlsF/VToW3jJJNt8I4y+JAiZ0fmcFcMwIQFvTyHJTW+lrZe9oVCz+w9kCP8951X
HSZ3wQCHkXHv0WkDIA+35hKNFMNTQLLBuv3W1shnsa8fu1rSkLnWLxU5A8rkD/2WnMGyk6z2Q1Wh
yovYVZdFevuhlG9Ba3EBSdkDQvNxHiOZxNvSI4YPdEvwUUNCa7+OHZcpT2M7dFRmHUSBDI40Tbiu
kOMuX9DUlz7nvhSU/jEhd1wX8pPrdtcZFfCnzpk/+hPlkKCp+y2Noy6W/LR6CoLxmablKWwa7yuG
VPSkKO23U1xAqRiuPLtXN40vz2kNOdCp6+JS4OithLorkqgKI4s4ZdS235QCrZgGoFkdPdQH2x6Q
4Z0l27UAqq8XIH0goJWPaIjOWWRkpqzkU7D4wdNiL0dygOaVdrNhP8ql3fd+MYazz3estH7iRpbe
dUhAmclDaDaimYsRCy06NIq9Ily/EaXz2OQElNy+Ta+WtjvFqmVJPVoGyj1crCLh8cId330t8vll
iobh6C3w8QYJ7C0ukv0g++kwV7Oxh4jqbMlPBrRzjnci9oBLEsvjB58uTdtF295hKVYSbgAAiDyQ
7uc2xYDjwrAzE+MZ7G22aVmQWMjknIXDcPKpxuKsSRXlapF75PxNz+AZp0NscMrhTHe45PvlBpmZ
LZm2nH3sTRbIqwZbq92Yh9jLnqcxdU7a8J+WvrvqcmKbjRF/s4zGOxdVEe0Nr4DW0bjmnsoZf2fa
pTj7DYiUGoQFK4I62mMrrkPAedqqPhduV/UfaFOEBsN71qAX5TiD+bQbhMDWr6ePfTSW4GmzluYX
2nN495U+4EwVwED2EpmvHzIYeU5nHVtclyyevAZXzAdrmCoLfW4BH0GWw+lqTu8cHkwz0a5KQZbz
YNn4KxSdvHOlq7Oyxs4LtlntcyXAMFRQFUI1baO0Uv8Zr/F5wJ/6q223jfD1Z+P1bV68JXX5s6T3
jy/6MVrbv7FiZhWJ0RARjZDVH0br9eLrup6DhWq9pvJHf7zdupa9XnlXy+APdQ/WlOkQh2J4xx/o
MHH/DXWP++tPY7UDkIoJXQaByU9AWPLXalLFM7SaXbM9270xhxYo2x47zd4qe//eSSrgL06AcLWh
9Fdz61T0onyAtkMvAZohe8rZUI2GjVcGaXQwBsNSTyyKiisfUnZ217sV62aVeq+OdqtzwrkDbCOT
YbBWFrUsKMuznHH8uHnA6mDMKvBLrYHAlzT1ZaTBmpqVhY/xhN8s1omEsz1OKngd0wVALwt2oAF9
u7gv4zQP/t1CFQbdxHAKstU+tLO40uLkjxs//T/sncl240babV/lrjuHF5pAN7gTsKdEiuqVmmAp
pRT6vokAnv5upO3/z7RddtW8auBqXDJTJBHxNefs8zYuiuHhu3i4avHob+vFqHXd4+Xpo62WFzop
LPBHYoVDK/Esec5juiJ36wGsqs+IV/h1Y9W1LuqXieiUfd850C42YEV1rUBCJmz2nWw6gCmyVGSb
e/ZMlMKSWpb3swmSqRgkgG3b1ynlR8LDVwZZQPq7BE0i500WJ7YkEoFtMB13ycEDenkA1YpFaigh
5qC0Bv+iei6LPIi9uRHG2k5rMa8yZ4yAzSI0MmMXg386VHP6MYdAfuxs1RcRmcxjVLH5cE0xRjsz
U2F7RoaoHXRYvhdyr8Jgxk8fyFHQ7XdxeYg1bdxFDDGpUZwBrVAHl380Snlr5BCxHL+e3thkZxu2
1OBAsilGf4fLe/SK7JolHEiYThRgavthl5Vj0wdNWTlAAfLlYFcoqgHsFgV2e+g40Y1t+uC341yt
HRFlrFZsi+IkwlFM+sRtW8jiOSy1HucSgd3BrI31TZ46jwAfo1sraroLaEf3loZg/MLEVK2x64Hm
rWN1y/eh2k5jlTxRAIeX3Kwm9nC1RsDXAF8+dM1wDWTRPft+Fj7F+K32Kna0G01Bf8ESovlbfPnW
dQiujFARLZkpMWmdnuqFTuvCP3psHKO8Z8UP0B3gYaRWtKCWWrGPd9Wqmub5UFLaYsACtAtsuuwP
UoELlHkWPVkIUa/8mQ0mNjpbPkD9o5n0atI0aFHa/NOQwsHQ7874vqKqLMmdquZgYmB2IWbMPbTS
fkgbF3LGAL1BgC29NqY6ioI0mXNCJdthvBmiyLxCDl/thfAHJJUTnzVj7vY2zp3yqYV5uBtDt/4q
zfjZaDBc9bnnHfmkYe/UTOunrsZ+OOXqFjN9fISW2j5ESBpfBmsugPJKZb6nVatfaXMJYqdpLPco
c+VvRVp/G/0m3Bs2wjJ26ejWAEPe+5k3vOhOmj9P8LKeLdkni77Gy54bJmpoQ3jCHK1vd7rLYsx3
Zb9NajQfFVIEdL75jp09xhK/tI9SwTyF35AhS+FnNXw1XJizzYgsYOaRXEoCxY5Kq1W7wgxg8S2G
chRj9syDpNe6Nb79aVPJAYtLyL6c96Vnw5svyHydhriTqKL9cs1e2HwSJFTd9Fr7mMztfVpr7gcE
HSw+uj/qWWBLy7VZbcy0hm0qrgrcLtd6T8fvpF24dpPo4IvOPU2ybXg0hu5+Zkm+tlu9encGHYCq
nKsLpd78tVl8m4HB0B2Hm6zRQ0TikRh1WJQNejha6Qag5+xHJ8Y5w5ce7GbJHnoV4uNezRk9+ipV
6AWJN3+jZky+5dD2V93YXJsDKSa2I9U6Hgc2zHGY7C3NNYFTSjldf0/NFVBC8XzTH/HEiZgRe0ON
11Y41sFketUt4CTcf3Vv+BtYQ8Z57BK4CmTb6FSGGHHU3ox7dVdJAWcsi6R1P/bE6WWygDg1JAPg
uO8ZzmEYT3dCCwGnjKX9hkZ9IX4hDqUoNzjnWK+rS0ScEIhSLyaWRAr99B3iBvWpO7sR+SBBNOBL
MywbfGyXxAeE4Fhs6snwrjVMI2e8KGhupV2tel29Q20v7wy6ElYyIVzBuEPEnoYdcu4aRFMj1LXW
L0Ji1hfvomrtz0oTH9iDzWvDHTs26U3BesinRIdGxUPOEhpFhHfyrSy7ZlHspEE6v8c6SW6NDnEM
s/xjpbf3mFIYLxhtvKLvx3JGL7tNDMOGrDP7t43RVhvNMdnSC2TX+0gDap+NEUzYJKT3aQ1GrjZt
fmTrW57395TW+64x2aTE8MAfIpdljBG39VGmtLJtG9r5ya5gSNldCUmn1KM9hmLyQZzC6XcCydAt
39xiXeq+vCRT1X40is4WVb+RU/YAk4mcUBz5E05rE3XGqrIZDtGZ2cWlCDUA8+ZUHYyyh1jW6Wo9
dXpyrbWoI5yyrHb9oIa1AEP1BaUCvlavgrbjZq99Z3xNGwAEM9fjNWEm0RA4nYwvwmvoW7oKS3QR
mysWdN2nYY3ZZjCm4T5FUrGh9ifSL/KyrfDIzbBaLbyngO4W2Fq/kz6TlKlDhjNGqWVs0tln6S1M
plqAX7WDHK5wcsbkaZNYo4v8FSvssEVGnX0QbmRsCKzgc/W819jLv7VZ0h0w2bkr3c2ydWPzn0Lb
9YMJCeJ+THr9oINrXI8JRFuzT4xrFC/pu596mO3yWNshlEdq0YX5bdrn1hG1arJlm9kQqhSROABV
Z2+JajElU3lpNOS7zIzHq4QgQ54jxQSoNzRtrU/ostlejhvL7cr33pYJuTj5QzJEJANMsbOXo0Xg
h32ahaz3pSiyQK99c1sZ9nuj17cDpmqwYrCekc7tOKI1ZH7ai5FgvY5j2jB4hVQYOYKYTK/Obt3e
ujqRDF2D+6tAiYhIYa3H5Z2n9ejs2Ttu2QcTF8LkN3CSEihFHB+7OY+2ochPVqFpd36n5C53Bn8v
pjSCp1PcIpe+gJCNt0j2sb8BQ1w5+YRvZDCgfWX5DsRhte7nulyLqKJtjAdjV44QfiLNtW60XoHC
9TX3gfy/ZA/mt2LBYnxrQgdBPoGLQVJgrzWT2uYiyyCvl9ZwKxl0vyfF1Gxcja8f7Pq9wzr71tGQ
GhFRGAejvXjY/Ho4KMAd+5SJbxAls3csYNfmif2KW/3xv6uKf6uXctnt/V0vdRdXH9/+z6HL38qP
n6xWv/7gb/2Ua/yCFMJkUeEgSPh1H/HbqoK/5eHAYrLj/oFYgV7CNGiwHA8gjP5jRyX4x4EjWmTI
VEz/STeFVfLnbmphDLEUQ7zBXGOJ+2bF+eOSogHR3BbQ99GjIfNKp7iizOFs2ESeX2wS036RxTie
8NImQTrULzksSgpw9wwfJqfYn+NsXVM081QUJbM1/QntRMRNlhN1VgmQPjMt1qE1yLYXk+Zu0wkL
kwdsskYHH5jKIKFTtm++VZxYj58sTe7Cvg7XfWsDW5AEPGJX9vCXJJ+DPiRnZmXOqnFrFhpl1cD5
h6itbBP0hD5fVb5+cTCYgl6Vb5WSitU5kxiB6AF242eXp9m6gH+3cSvv7FpqJxO3XuGw//Sz8oRB
6i5UNq7IhPgvMzuhOryIdLpiMkSnkmqBipO3qe6rddXM7zZnSz4a75XrvDRTBwuUoXRLWMkztpw9
+W1OADfA31QdbuOSdCGjt16yMX9zSXbd6pG808GFLe9AXwzeGh7HZ1qX2qpjMbG1clD/VsFaYVjG
UqMcHyJL3i2t74qE4OjQ5v47zhN/Z8RiH0UIigezOsw5vChNdrwxur4SdnI048EkKko9OBQtshYv
sZUdI5W/tU2Kc8I+k99A5eKIbiP4haRIPgmPuYicz2qy+i2COQgaYnE3Qd1ThI8w16EWJQ0iDsy4
RetJhGeAJzAGrrYkZ2gjxKQaPnqkLe9lXLxxG0rWwOxte9Yvq+W1asH/gXTdi+z0S2/K3RDPV4bH
eF4b9avahW4wZvGnxS54YxvJKcvUlcmHs/cqVjRpwm8IK+JpDntunt7JmUeS7Ue+IeM5GF/rGCvP
dUuKKK3MUyuakOJZPRS6vVZTKVcl7uJ1WCVv5SipBk317lXz1WhGIGjjlpCtxn1JlP7Va6wbX5Iq
7EAzm2CdzPbQ7lEDPcyNvYcryy6ntfYQXeIApxdLiR7YyzDMV041xRtJztGKpaN19F2+CWruaSnN
wgrqTn8qI+Pdp4kIlpA0sv/yI7XaQ9MOD0Lln4WeTivUp6jNC/VghUYcZElfU8FUiB4dLV4R0EzF
t7zvRunQCYqXqinTLbYD3HDC5dbi5/g9GQEwxpWW85K47cRtwtdRM7DMUSi/piHZKC6M1zWFyXhr
OXztchWFVIyU7RNIgX1D+NaxAc106ArHO6hRw2YeTznxEnWBT76etjoIimMRE2tjarn13hvd6zS2
zrXhZTV0BfKCWclBsAaRD/jWWrvZLN9Ct0KlSf+fO7tUNOUT1LWnQtG5r2fsaAmsOEI14vAMluCV
zmlcZSpnmeNMcCSSdd1P8KOEiklJdhwK2ES1yL8rANuO25xzLb6UFTJGVItPlUZN2TE+3oyD/abK
iWSz0oRFQODmJnfYvbqYHuvZd7YFl/KaKjG8sFHqA2YUCyjOfK+Mqg66pmAROuoEeZnGFsounxu0
h2CAJYCWy2CvaQrvRujusFPgZoHSuC+u5gAraOQhHNtPaLJXwsmOP1w6f0Ed+iM7zFuMKUsIOo8+
EzYEdD+d4gmKpwGJEa3ySPqNNTT9wso6J3ZzmkPDCf7+1Zjl/bDYXmDyzN+40Cx0JRhznT+IS3wB
BNaZUIoQy1WtS4OULpCH6Ls50P/+lRZW0o8eYF5pcbTQLuu6iS7mD68kXVdZKfayvdlnb37Iabgc
xyka5xVZYx2lvJz07d+/5s9r+++/nYUSnc394j3m339+LyOrhGjZhfAwCN1gpD0+VIoHW7MIHtPs
fLX8vnnOwqjjdPv7l7aY0/759/UxrrgugKw/gf+wPEighF6574qWqBSawssU4kPluLgiIiLb6756
lx1xSJnEVJOO5Lm2GCoCIMbvMYr0qJyvBoBt1K/23vcLbZXiwyc5g2Qmjm9mtIRasrhpqvQE3HRb
2OMdvMYn3Y5hlCiw9GjmVhCB/B2AqvpLROewEh7Hw9//pn/xFYJOgjzDcAzdNhed6I9lh5knflGZ
AiGD2W1FpV9ghl7wNTf/8I4uxqw/vaNoLxYYGPoJTMA/v5AvDU/xN/mu+rk4dCSNT7QRGz3nEC4d
P113HsjOyChuQX9e3F4vblkSIX2fo89m5FxeShUsiBleUXUVaXgbAPU9aL5zhvGzAxaFbalOoNJF
CJ8bZaqXyDanXRGZ9UYlE6psvSVQO1NPquXaH8xEHNFnFKyTevSUZfIZJqzcyyznU1RetSOM5zOs
5gUvvZ37jsu7tvbxZO/juCTKEAY0VA51xbIxX5nDfHGnxgrQDMKp9bTX1mY97hIL8A9v5F+cMEz2
F46HDhbA/qMbf6YZaYRmlXuwnt/LCcXJxqQVR7u09n//5aDC/tNnZuvcUyyBXB9A4c+fWWtO8J/F
VO7tbLwTXXIsMFf/w0v8xcniOgbC8+WvPpa5n18jiXF55rqO2s0fa0zrRA2hbX1fTnq2ctOub3GX
m2Lva+ZZhj4xv2V+ZLz63KXpVyLRysBE1cIaL7X25I9zyfqcTvVUnDDtfs4O4RVumGT73HLmIGWh
yFRo7q7zxNmgyXn0ev5nh53ZQUwoPXKbusUwrH7VIKTYmq1J9JnfmDvEuSyrzeTTZlYIdSk7jSo7
ZnY0LT5vClRDUv0a9aos2cGPen9XlWa8QUn0q3f0X3LtxF88sXwWPvRtzmEhbPPnN6w0615VU1Hu
jZxGYYyJaU96JLemlvE7x7wDCeUWohbvXNgODvKuxa1kFDcEBTx5YVYyKCqHrQxnGfSOUa2HWH+B
UmutPR0hNDadM2HWCAdCm+RXM2XAyElU49Bdu+n0hOvsfe70gFzpe2VRHcI/S1atpgC26U8ThRjh
PXG9s3KYNrW8i2xnCFIm2OxJOfg6ZyTYTENFXYS5vzPt+cmv2/HXleO/fJP+4iHhzlj+ZaCGN40/
vEcyalBzybHcS69cU+KowJX8cQQ277CO/uETMf5EMOV29LiFOdaw8Xl/eiYbYU0WZiiCtzD3bwwy
B9ZemB5Dbirf4PNBE8lMeaJBGk2OqTSlAozyE4hwsHUkGgZV6RP3h8Zj4+OQD5JliFxOHlk9xjXj
hpvcR74CrJkow7Ky1lbdvRfpfKfy6apwl8uYr1lkZW+hXKpUYADprJ+I0ljDQTJXlKsb7NseGc72
+Xt7OQtlrdkYgUkDa8OonJ+o5bitw6EnG6mPD4oEg+9NUFiSrAmhG9vJIB+SnkbSyyL84g2tnj3L
h7bHwTUJfFPW+EBWyKXRkqNlUa0ZxDknZTax8kDyUvC/hOPyhayHcWsIYiGWx6hTNgpt+eBESwNh
ZxrPEylNeUO1hIP/pBi5rhksdZtWs1+alDxQ8j2aa99W722Pxn3gDWZ9fQJEWqx8RSkucvGSxuOd
tATB6ZW9H5GuamN6nDEc4KjnAe77/EhTjLSdm4WQA76YPB2O7E+5Yb/GnSyPmWEzmB7XkB6m1dIY
sXWB99QwY/ao7PHiv5iIw/7hPnb+4vGm1oH6ghGDb9QfqZWIRNIG40ax79zpHb3TXadz7420WeRn
puul/vrealcLvaH3qfS+P/Nl3G8nSeRXk/JjTWFBZiqh5iEB9MbWckkuixpwiF658dUw7XOjg/Wd
ZMiNIpFsmjKP3hst909168dkfXEvMuLykQnlVPkuRlONMybtp6fRotzSW6tesR4ZVioiszf3qKwj
GkPuw9hCvZRiozy46fDQj5ygKAQBwtGSwqs4jcNwJ+wl1iYH6pq0mbVu5HxVxPIB1jmBxoY2I3qZ
3p1uronE7u9cugM0kM555BKhyRweLEddlmq+d3+/X/+LMvoHtYJlUAb+cHcvmVu/JWQtUV3/7//e
VwNi4NVbW+XJzxb933709xmb98uSWsXcDR/+rwKE30ZsnvWLhVJY/0Ga8LtigYQs9MNY5i2EjGza
qRJ+Vy0wfuOus3kkUC+YC+joP1Et+MvR/2MnQ9CWbuuCkp4/h/HrHO4HT9IAA6ds06TaK5bocuPH
xFVwaSf+LkbCvnVKDvJVGaXeLXxXYm1Msr/OmMCr9ZjHHomN1mDwRU2sZ3aZ0wX2Snk/dk74iglI
XerZYpDuytneg3tkUePzHl0lS3sG4KhSK6kyp1gjmEhRBKCvsK6p88G5GBX9Yi5s6zjMTd5sGj+J
QONNE1VexrJHrWckDp9dwU4ucP1JbDOtEzexkapLFoeCUGDmARu90SzIpVNJiINjl3iVrNgkP0R1
KLOqCRum1oY1x1loHYbCso5y9qwDp6ZebghBGsEz84daN0XYf+NVwBq2okT2FQ74fFksN+A/XGbv
Gyg31kGFtC4ICPoKjw9QlX2iU7hurFkvPhM+8L0d2urilDbcRGNOwo+ZUIUmyMBJPwOARcSA+6d7
FqxJn0upZ3d+pqMNVEl8IwdiuurOq256+EzTFY7KyGYlxJQFm7rrdWCIciNcYeAE/UHGlXdLwN60
abg8OKeMEB6nbiXI1mABusTMzvWrEXneJcypZALOct1Ykz+OO9wH0bt1vQJwFBtxVRf1DeGP/sXu
AANep8K39x3v33asGv+aYGt2G3Esr+OBRYmKx6JggVJW94bReLcafQRdCm5oZHb2vjC4k7hjjIew
IicnYXN+1MAHHNTgVjcZ4CztfhaEzThuahxZ3UniebNBcDebmDKxeJFQP+CNB+PafMWd1Hxph8p8
rnXCFsiSbmgKCbXvPgyt8DaI+WEJeXLyb1UdxYjBhH/PHRXdkrxIQpWv0COs7NF6ZYDXkTSca7a5
7mNNvpEpzKa1M/zrurbcaDtMenQUKi2TPfk2/XwA00QzlYSDdm2G2ihX0nSLjaUrjyDoDrROD3E3
s5Fiynq4w3Ros860lH+pPc2wAD86zmNpTOIUsyaUQItzwboQLzeTz5WDCdnaRUBV0XRraSrrKQCH
D5F8spPK+9IsIV5a76OAiWvo53w+mhyJLGDAIjcYD7xt1BqzOexDJln9sXcQxR7yppmSZ+wvfn9E
FkVQY8nX5wVksnbPDp0RWRaSTVGwNxv77jluinPoW9E1gcLQEVNbS0F1mlZRCe0YFboLRwBz3qNt
6ey95gUDPPcz6dBTttUd/mtv6fkBl7N8SlgBrzU/rk4kkjTo5vu7dDDQuORLn0ZsE2lQGd+hJ8ch
v3rP460RaG6FbNjQ3wUIg4saD41Rr8H4wiPNFCqj3uyiD2gBhI9PegLmYxzMYT31Sl1puMsPmMkJ
MffLu2omGQ3FwCFlu8kmulJHmRD06eJlY7RMPndTMXDXhPaBln3ToERd4RDeKQ/R65SYRsBk3T0j
Sbnv5y5Cly13AMLsJ6NdUF7DAHB5Gqob6el3cFBMVgK0wlpH3RAJFOJjzr7dqx12egTvdKldXull
3X1LJ/esz2b4BbO5RPfY5PelQ3GbjlWHBoi0X4EL+wKAhNyQik2/TNBmC2c+J4037cj27lcxMNYt
WE4D9Rg/ZTAPwP3cVvU68+YvVYiAggTnm7luT73MwhWaJqaVFjFFTVi22xRS0InttrxxOpRASVd9
9Tltd2VieJsknMItjpiUFbsN6xRf+H6uKGbycQQ/WyTGFQGbYzC40WuVmN06Muh8Mncq1xBQKwqT
qn2WaSP3ehH1j8x7er4YUttFrfocWofQszidNn1Let5IsMQr4fZ4OL8T7Z1UFCQt02UcBoduAReF
sK/KJqm3vo8gCkMldIR6yMTRA7SxUprm3g517CNd5WpKiy5haSxYuY7O7JKp25RLgNaSKeQ1Sc9S
tQmf/MbmkbWLEE8CqfdkPjdfy4r0NMLTk+yldvNiaww002Fietui6/1dhTH9S40b9Jl1uLbpR+ze
lSznM3oygtUa2e4Lq/BuLf7GCZONdkMr/eRGDToSw4fHGnWzc27N0AAdofrMONoqja79rPDI9ynt
ZpX3yeCuMpOqMWgc9FFCopCweyI+RmSHZwuRRzCDnGsDrS6JaqtCD++CmxHIGpHGWCMBaFAPPvW1
3iHz6spmnQxoXnSo5GjRq1uG/frZSjG6er04OEPO10BAn1Nmt1LL0sZEpR+MndAOLeqibxZbtG9D
0S6sYOJ7cIuEiOtb4ZDWxZjEWqVTY68dOzEeK9DrdzFypA+F225DNI933YTmq+YPnwk26BeA42AE
JpyynbAfS2FrJ54pkFpWNiIl4pybpyZ8BFqyY8D6GjrDu2c29m6uCLCfQ6SLVjK9TOPkr/scGbvr
gjMHUhyMln4AupdtsP7X3yI8+kGWatUaQ1W6H01WcoTd49CZndC45J3TbrJOZrel4ZzLqC+vGfEN
mwL6ADndMGURn8etrDedUcznxR2FIar7AFbzwBqCUor6gmkMyDFrBH1DDPua7SIaFTJke6YgzVLM
EFbe09UFhBdi2ylD8KpZ9qCZDvsz2eivsekme0ix7rfWaO+wHX6GdB9kLpKfprlfypypfWP3yU5l
unv0J/JnaiIqoPs0X6qIXgDc3VGW5Gqxv6g3OA5BOkcj0B01FQdrrA8A1RZXgvGYyCm7zvnOI15A
nA12mFFD2hPdrKc7aJT1serVvZjjbkvwb8lmEzV4nM4fPfXnqreG6p6x/bhKkCbgJyqsiXkKpA2b
NVBAjlOxhY1BfJXmvYeR+QL4NfyiN7Z1Y/msVwvPRpHT872y3wuzMA7JPLBoA+ZyBaekuhoa85tb
SNh+xgdTT6KRIZzUK1AqJC3VQOg6QQRW0kCVGz0n3lGxuHcGHPJ1nEtS0Kgeb8zSDS+Qgo8tHzrM
o12CziqeOrK+XBTsKRs8DPYK44ORGmerTh9VVjtsVeOBsCfye1BzlqQhxQP4SVpBF/KGjWQS05VC
+dR0DiC2+alPE8jEYks89E3l9oS+Sp8ur/q0kwgFOmFBsabfhLK7mXNQ9HEPEg6/Q1oXr+xFkcB3
6kF2w6U2eoRv5YlqDWuLMzNp60O1gt9BmMiI/WpKecwRwYIBsa3EZlXlCvu6TEmJdIqmXMVOG5iT
i3mWMdd8Mdsy+y+U7d+SqVtYcRlC/Gsb9sO3svzWdd++/air+O2nfuv5POMXB7PbokJHo/g/GnVf
/4WYTryXxBrhx+Gv/6tRd35BT6FDAfqVUbuYs3/v+MQvPmZgUnp9Zmn/aQ6IcP+0eUCjDkFC6Gwf
8GP/cfPgEsCqxdIuD9pIhVvvRirAdCTaTkoAoQV1VmA4rimve3OaVkWHNNLowJG5nKr7phAJk5cQ
7S1tK/m2jXAeOKCyjUPPtI4ip7NXsrU2ReSol0IpkBaTZVtvflQaB7PW89Xg25T1cSQYRLsfQ1n3
h9Hqop3NBbHGsNkQtZfFuOEQO0+jrtPeIe5CUq26LbnfBWxbDxBmOlUvAtnwW9l2xWGAbrjVE2c7
dK671ntWoWOaRDdGG3r7ckryB8SACBm51ojBJXGqeomNodmZozYfuzFfijXTcb6GnlvHgSqQiRDI
GUWk5k39Y5b23rViiHg3yNZcl7l7i9bKP+kpKjmviKJXGEOIObnFAHYOBLAlnLVhqre71mVjJxOB
88+abqu6QmQMn3MLbofLjlP/pnT9Y1Rma7tS2UWjnEEHDVcJaYK3yQlPCIasse/bBYQlG6Gv9FkI
6OqqOwzdrO1DbaZVymLtyPy7RtDczKtY40YizbA6NU7sEvbuaQt2j/0QgDKxMbEwXEdhYe8w9hT4
bIGZswSYb+vR7E4u7PEgGwi+UoV6n+i2N51E/hu6WXc7Z5zHcnLyrTNUaO1qheI0Sd2vA8dXXU6v
epF0uHm5dQcCTnewBcKn0UuqbZqGzgcxjtnEdsBMT5GNui7H0huvlOrJRSYTcJ0wUthzO7fbxqFn
ACgFyMe2TdxBgEkhjfpfvbaUnxFN3XZeLIqU6gWJ0Z4lbgUDP2xeaf2I3i199FgLvGms+VioEXlz
goQ7Xnna4kYqdD7kxCdZs45onXEMeWuYKt4xBEZ0YxkjOYbSeIzROfcBC9ZmD+A+u1VVA2+ktMYb
E4HblWgSqhkgHmm7Sug43f2gATXYtth2gdoNIkOYOSh5pIzbpqU5+hSWC6RX1N7K5JJcOg+TAM/B
o8aefYjnDFt0eHEmxkoLo4a5ThuyRKhCkkCZc3HRNLandpMFMcEep9Yx36rvWXLN91w5xKbPDqkL
S1j2LtQ8Qzt0v0bR5VgwMzcYfVn677OYGnRUIQF28xJl1w2mV7yzraXCACSHN6IfHm20+wsPJaYu
wkD4IMKO8Wk7GBsiGfyjrEiyDfywy6d1HTv1Xa20IpWrZBqjfS3crH00CVUlL8MGfNvHsGHdyj3i
x/A6bV3YKag1Dkre92KEdQw1jNEJctRQh3WKXW+l4yw7k8xSuM86c7Km3XT2ZNyWyh/CjzRE0WGj
9A044cBgCY3NKUUK31wbywbOZ5YqJGRmKzXmDIj03k+/AnWbtL1XjjpOnIqM2aDyBuB0I3CbJZ02
HsRJRoX/VEw1YWOQgvim6BOp4wbOvTEoG6kuJRC/D4YNfbZjaDAy25oaOmFI4D5TdMYs/qa0M14S
DWdL5qTSjQcrmquCaULOvkKXdbLj7OMV+yxcMtv9Ds9gQVA0WvrEL6sb15vMylkS4WOrv4JfYevg
V0cUKa5yIzAZpXOjRsKK7CW2SCd7lbgSm/eYuUE4PeRLJlILJqMNMlTv6NcLX6JjIT+p9EVzyBKf
517Z4dr+HrRkDrBsBsOMd6U7ertqSWQqiWaacX0QZWjY1bWKSW4KMWduK9kT54Se2eWh+h7zNCyJ
T33qmAuIZ2cvaVA8q3jtjMhJNm1UWdoWRAVktRzmr2N2mKAtaWsBwVElGi+Yat7oMrp2mLbZ38Oo
TMu/wpMEO7ppEbQqEbH1pE0I5nnAUF2QUfveTM1X7qj2zHAVerIbIh4fGbcRdtTo99FshFuFE+cR
wEF3K9DEczmU+SGP3O6m6j1tm2uTfhxLPXwnzcdGzWCsOxf5GkdnuCfBSn/JXCJQu8L3vowI9qug
D82avKJGXbmzO5/YRHpB1ChkhnJKqeYtmjkins8EgW+p7QSaNH1OqZ5jxOTpCOkwpYa/sNtPN8Df
dx2M9kfSC/vD5IzDzmhLKANgRBrGdQy+5k4bAT0DlXQZuaXrVpneVWJxxPumZa8ZpxIswevfK1/Y
gWkwiYywZV/qKcI/i/xxI1I/2jn8AvizkPdB4BMxR+MsXiyrIc5ztP36DeJIfzLc2fjG/KTa2v1s
bTIjNPZO11jP8PTqDUj2aF0bXbRN4Z9t2rLPz5kum6eB5/BEW99ecMv518hlSrjJwF3oxJJdQ9ro
mRheckVRUu1hur02nkiuJzTOzyHjmXNI7DX/kM6hEgAvjikBZkBVWPq5U3HRrxKe/Iudumrnm077
hloCJIKTgSOY+1tkLoqMocJzDgVt1y2kboR6IDm/yi4i7UEVOoZk0rvAMT+z1nJoKOjCAaiQSgOy
Cg1p1nqBbmgvqgz1jcDxdbKTRL+ytA4KNLc/NC4N2KqgKWbTaPSPoF96D8BAxLRQuGrjozUPulE5
/qpBO7NihIAnAEoE+/JikfAEeuYY0cKUhn5neTzUwPXXFcqKN1NRyytBlxW4espJ0LYZkSZ4x6fY
vbfa1Iu48qICFO5D58Ce/S9m6d+r7wVDhr+r7x/7t/in0v7XH/ittMfmCUVJR52s/75/+R+6ywKc
g96CVh7wMkMAkiN+p7uwtVnYcqh9/reuX6BLYJcW/DAbnv9QMf1dGPLDIgdEHZI0lu7LOgkaiLVo
AH5Y5FR0knE1edPJLwHRZyuPqfG0Be3FhVYI65Ap/GKQ7qP6qrMFI/JpYrRABUOcVNnuWzxSSyfL
mnsYQCsnhrqLp8m+AFPpKKGqXCWhh4ZP6sNIzkLhEHh/p7mTAqE2AJjzxWMcKr+o99AEkDpGciTH
Rc9D7cYvxFgcqzZl7kDhY1Tep1WDnRz2kvWYGg+ROxgESoX4N1IUqR4BGvXIm3yvldQZm1rEQMsj
mG084a4trBuPoL6Vzsty6NW6w2Ni8sxHMBPYrBYCYB2wpnNYFPGucc0ZYj7JNw9lAch97itrzy+F
nBQF+FeYcMkDGKYWA1YRp9R49rlXOMpmWvptXP1/9s5sOW4j26K/0j8ABxIzXguoiUVSLJKiRL0g
aFHCPCamxNffhVL7XpN2S7f7uaMjZIdbJKqARA7n7L12NLz4ApcFhwx2vmlOKJbDtj/wa6KFoU/M
C4WDq4yakQ0pYskx76Gu1cf2BPtpxcCBkZhvkzgHBgcqYgKSm2uxeiBjdoAbp8d5tpo9Gttw9wa0
5AHLxYU1J/Q4Eus8lI9tvmblkOJ30wC54fSzKZGulePxMsz/2+r9Vat3pSD9bEb49EJrizJgXb2Z
F3782B/zArh11DUg0220oTY65v899qPm+s01HZPz/lpZ+GNKYB7R0XlhbrAddEsrOv2fJ37LpmVs
I9XBRuFahO7+W8AnLvGnDq/l2fg3xIV/SX3hAnB7MzEs9dIOmhycc0lWzBKQqT2c8W6vMRtTK7/8
6cbc/Zhv/lEN5V1Nag3UyrfytcvFEBmtiljfQsD2Xo0V27NVuElvnRNNNc+VVRuwIkb/Cc0N22GH
mLznGFj9iz9m3eE/uDQNbOZmGG/c1LcTYKrlYu5rYZ2pFHBp2gQk/aqJZdodHHbh3syGXuodbkmM
D/QQfn759df/3/y7fnP83gYqRJ/kaMo87y5vmGlc+VlhngtMjKSdaOSSB3o/kDycQp/gAFey4P/8
mgZj5K8XZahYrC0ONaV3wq6qqaIhxqF2to2KfGg2zUejdJZ251IEemp627u2UpOLD2IgSTjph/7V
aWiOFLgjzaB11i6KG+MwlbQPou2ykK7teKBGMeiNujiNTaREmOIxg4NLsSAJ56IyzeDn3+NtpNKP
e+dQKVvlEZzH31MBvckDCAXP4ywGjbEyoIidC9j9Ow8K1CNWi/o057R1f37Vt4Lqf14V6aDjspaD
RHz3xOh9udlsd+KciVE8VtrCntWtku96NrdnJZb53rYacYtRMcEjniDR+fn1//pigiPzSLPikMq4
ef+ujL5fwT6fBRY6Z75P1xdG+QMO3bEVP+Kc/6UA8J0k7/JdTeHzZnkkmyM5Xt/bP+0OIuX2la4P
4myl/nyvNUmV77Bbsu2MTFO+zrllvYy6s76dOh38xp14WTS23nd077VfPO6/++J4u5gtWa3Nv4xa
A4a23+qRfh76lpfEwvdfXxuUHscN+jj/P3hJ1lIs7yX/c/8i2xVNBtvRHA2ODOzeK5UUoLnimcaD
q9enEm853RJZn8DNMcr9YhG3oHfmtQhPX31Dd6c+ac4438etjWwg1w0ayvnob0XP7ilJiP/ht2a8
ZTY2qOnKT6BG734+Vi5OiXfTy5p6RtWWpYIt0DthelbE0eApX5wjyortbnG7Dk8/44baWfPcdSjq
C7Z8z8hx/esSXPoW6yV6can89oD8l4IDsZVtgRF1KbpQRLp89Tp9vv/55/ybWdClJ+RhwODD2u+N
EdpsDCNOZ3FGO8INudxm0XTNs9Aj8dgW3a9G9rqCvpkCHbRQq/PDRDlEbfr9Fcs+NjI9V/I8NWZ9
svvSfon8ef3DzEB3rZZ34LqQQKM0IthdHwn+pRSq/Id0WAs10P/6V7MeGek6M4Cu8RKQYMrEuY6J
yy2SrBow1lP0f3J06fMKk54QnKKj4fKF1u7/LzS0fIP3X4tvwnM2GbkGMr73OvCFDFa4+Co+g7si
WbZRSxdmrpZ9oNSnemjzCaKTzB1BOhu2VjiUP8Bl7PyEStIGAbmpB2pu2G5ngLn0snd34xJr/SFx
JC7dShBQu6FaFi2hbgI+2OjJpH1sNDr1oe7WJGxOMYHdgeW7iQwhVvJmZHIi4KCk2kdvdfXie011
Hig8nTxZEpdcevXtmKGPCT2s0cMGAxXeaOXmH0Stiq863YaQnOkOex4Yj4bPNyavCmmjAy0wqcK0
Z/2+IlsdC0RrZs0doHcKZ3MCw2CDvVsPbTfxCNt1Xa15IrU6m0Izcl0CsdtER+kZky/WGWM7sj+O
uwWum6+6wOkN73e0nB2IO5r4OezjpTc2LamQhLChidGOkSesayMe4IY0Y3Sl04xBEjOKIXBBvHRn
rATCQi3fVzYVCGJ/gzKJm+aOcJqiCyjAJFHoZZy0YlRQMO8ZI+Qu8co5tfK3LVrOeMvWwN+6oqc0
THnWfpG+xTah8pht2AIyEY8Nb7NMFT+mXJJi4Zph0sPxU1BKElnhrhkV+cDKLBLhrWGfg+42VyAd
MwUOs26vtdn3BEDOukyQ/Kezd7TiNLkdcT9+9arcqakQJTqIhKwL8bXGCBGsbtfhaOP02DxPur58
BtuHN3OE+oIB2Phd9XVNpbWVe9c3oh1HqfoL5Rb7M3U9G4FCk7wyUOZvMVladOiTuAr1gcdDcHpf
7Smp2AhY3TFgYJW6SZm1mmdvoyjAbHDEvVqt7gQzJ63mUbO9ND+NlScRdRA07JePLnRrnUS9BM+p
G5YgNdGy9Qo7CGgvQowig38KYzIQQedWqmFFRFKmEBR6ufCbz1oyOiYfN8+qLlStKr2dpq+bn8WG
ppHn3OlqNYXqMUJMZnvNeiH6xDW3cMaQIpDjVnycNckTU1HPoqCUOQSj6zOv+DVzRaoYldCDBIup
VbX8DkqmzbNPA4BTolh4qORraIGudx5IvInhBQqeR5+PTNmpFZ8H1wNJsCjHeonsCbVYqrNfhRfD
bFROOAKjxX+aDEO+yiVZxRoOE4/FPORaJYf0DmfjpuUN9cBGmfx6lBh8OE4c9YltXfQ0ICgKc1XW
JyDjxmOLnYq/VBf+dd9Ts6Z25UbIzC2/jEMhev5LjH6GLI2UjQ/eN/7D4qKI2Xk2N6czWKk3EBj4
Gx1Sy1uaEEwxvs2nisnWufZdUl0N22FRR+M5065gjmQP511HNouom7UdkjRPvhI0xK1cS/SPUg78
6+XTlsNAidzEO3lXs+00UH6l6q697EXywrG6D1WJCC6OR3GLsxFQisXOUBkXAdHibw0jU/dDynHD
LDLiKyKD5bmfmylU6+5RGdx7USq+FK8kV8qTUb6mNYMBebx8HbuVXxhDojjq+Wi/XJgqFF3ka1Ow
2rZ+3D6DA2H3O6dS3V82CkveVupqzgrnR0Fvjcx47lo+DOXa7BW6s8u9cE3zSO9Iv6V4rwVOHVHh
JGqovmYY8eyM9dNiGmfhkXV3kKhE7/VMZxNeo7Hc2iJvnkkSZzVXOYLVbQT39gU5OHrascYYe2xl
xycf+ZlxQ8wI4VCt1lVUQdYNzrBuVdYcmtcfhx+SsbhpmZ+VIfYeC/u7lrcZcH9nbYDYyrtOStt6
gSjZIdFaAOghG6P5SRZgNWUIYUT0OxpdLl5dXiER2YTPjNRM2Aax8vRhN509awKz7UueUQOPBrKh
fPVjwQKM6Ie5rV6PKuhC071Qgo0BVa2jw5O+RVfrHvk69ckcNec+VQPES1h8fNpxIO9qmlhx+3V4
2ihkbvU4Y2XKsYBDNyQBBvJJpoabZgL5cigTTMT4TypGLTZuz9xS1uPDRDYDuLdy7lkvPP9pHlP3
Mcuhk217SGp7mpaMkSIp7BfwO9xTRLB8/8skgB1uvldpxV0paKVcO6vwt8U0eGqc9fLl1HsBMk62
Y71onglDhMET81TZ7reHNjJ5qojlvLBgIec+TDwhv0qjJw3I692sYuel8zDg5TgB6bGni+aEsc0b
33WST3IZiQhRhTxNKVOALdijbwURhaBu4jaWd/4cGQTN1OsDylosyjuD9MFD2VFrT/uFVLSe46hE
CdWzKTK8VUBt0Pd6UHpmv5gr3NbQPM4AfsYxxEIF+TgBh4GaZaz6Z+Z5vyBVyW+enbjhRW/FNN9d
viErEXtk6TADdTXekMuBd5m05nmBl/cIVs14TJm6SXzlSPs4tPzHGtGDue3XXdriTTyny47xsmyq
RWdENQWUBtNL+O6L3WDAMDwN0aVRht0wcJJZ71rXjLMfZpMoFvQ9fJzE4VvkaWS9NEPP+1olMVLl
vOK1WhSEY5eEVJQCBbpTm2L+K8YbXi4c0syOiezApSUMeTqhlBnvkzRyTNIq3fagUrsotza2Dft+
7qC9BRU9ziXQOt1+sRB6pURURf5Ttbb9ChLHjjnKzXqLCmMqrsrR4aeLITHaByyo5BMVUc6NhhUg
blGkrnPfbADDrmPBJM9WhDzg7WL1nFdoh9Snyw34MRetB/cxM5gX1om1i4l9DS5jN4pnljXyK7rD
7Kbqd3TA0fkyPi1YVXt0t1QYq9bKb9zBY4h4OtwAC0PjVRIr+iE/BgSIOO97Az12hDE7dgctq6AR
rH3R2KGWchkVDgEf+OPQMt46yLz3oq3ELY5CbkIutbQOQBcJfOh2xUwEY0EL3NagCIEbL11AzPCF
tKlk9OHPg08BjkjuFRuhDoKcIW6FxVdgyIlHO0ECGq5BTR6ByS0rjItvYlc3DJohq5ntzVR8sKnz
njmpM6h1SFVD0E9M2pcZ0MoJRKHrgrg56CNtXb7pUCIDcSdem3UBgo8dm2oKmrFnUiBxY4x2UKV9
pqth/bTZgLVma7aK68aNmu9LZXXOpuGo9uTPio2fHfO9ye71GN0GBMiQkvIMmJi90PIwCi+dD/0w
VkTErbqMIxkA4rbTVzyv7ZHjzspfM9p1ES3dY28PbEJiLfefLv3iil4839eFLYXi330YvLn8QBMQ
UHlEyJWfyYNdtAhlOmb2KY+z77GJbsRdjf4mWKGcwF2TF5ishHtaeKxIKp2WoKfk6bNDUc5Tninu
c9rwQGt7Wmb4k5m5I48efW/cIvJLxrk80v3LbkxLChGwapLmDgj8UAlkH0HRNNVNVJv1d38u2C84
Bo5mOhaMsE4avbedZ9nrV7AbiuQqi3ALB36SsKcaLEgSxBoUR602qMJQZRsQ/UeT9hBnBo+nKxv+
bImEWzamvcx3VAABtZhIbWmSMS+1I3ucct3StYk330PfZoc3t1qAGJ53Zj0o5wWz7GT6vKp+0sJW
0zs+XrS4FJuMmv0BvQw+6XxZTCL6tc9U/+v8W80ek9XFb/xttq7hgubwU4SXceV+r5MdSa8Npvus
WeGZzGk1XP0IvNzcQYmu/evUj63j1PjiNp5t/0loPelziyKi1cT/wBmM51o5BusnHhxGaxkzWy1O
ajyOXDm4zJs+mXN3i8+CCXCfTo1RrPvNJvK9a3LW0jKM6JU8TkB6n/MC/1fdM+91La9QXyA2SCMN
bXANZTJeZ+ZlASwZcLZLDoYNyc4aHV2e7GbgjetXcYydY+vQfuwwWnYPGitzSa6NdSQ3RnePHNgI
AMONN2yQT3T7upfDrljzkzir9PaLni/i0fMEJTvbZ1aizsMtcTONZSOKDE4SpcPC4ozKeUyoWIdL
65rHxp55H5Z4nQ4uW2Ybz4wTGwD7fNq2uzgvAQo7qjd2XDl5RJYyfwS5sVwnGJU/NtDXQ8kbwuzM
aWchx9kA/u46pQ79zGq0u47gzzlgO115W7MzQerFtvZ1aEz7NQMh/q1gV/mdJpdkuz0V8YZ9FZRH
+AbXgk0ZEdTe9Bmbl9OFA7INlDsgTTAL1HN7ZZtzeguvxwvjzEk/lU0fPzjs8edgKJHH5NLW97hf
1K1vNtHHRHPzrzWg1S60Kz2V7JQrP75bKo0TawF9B4Zxr5MIT5aw83ypzvy3w/OrDg+NBQos/1rT
+emb7P/xlHYx7rWXN02eHz/5zyaP6/7mogJ0qO+L1Xtn8kv/MPMZSD4N36Prcem1GNSp/uj06L85
VKd01wMBZdKcoEr/h7bT/Q2Wh0MA2Zr8QdvW/3fcfI73thgGI8R0aDJbq/ZUMLu+563EypqKKouT
oyzd4VR7FVuZymjkyVSlFRZWz8Y3J9b+XgrQdWWMMCGdU5IcxXTIk04jSRKz+67r/e6BWoKGpLFg
24j4bk86DytmOvj1qZ7tdjc4ZY++Kk/sI+0Ut9sN2RCh9dCsCTirZxf2xsptJxx9hbaxKWc2vxzs
vXzARKfijp6tF39E5I3HabTJBfCd7LM/TU9CFljA0Zupj0s/UqqdCrVLR00PeysbzvFUiytadehd
ZhTiRF1oxbgm3Lb3Nrq2a34Eo1Cnu+O+qbVzGjWZDBOCrg6d2dY3y6SqzSxN/RNk7/GUmbp6jBpl
7lQnkzvUWEB3/GX95gQFyC3dlDRMqb7s4NsAV0jI9X6IE5toCnNukIrzf7t6K06sTx/xjtir+mm8
8Sy188gnDzRSDcMYv1YMTdPqH3KSyO7I7DLPEWbnmWmGM/COZHC+ceFpS4i8zYf6M6LSZFrfOBCg
Qz4zohfZEx9bIxExNCQs0Wx+GvK8OVCWpBqgjL0Ykg+A/9GXGAqqYeiOkB8te7I2mJkX6xrQ6urr
rpwe3MrSI+PvD+gBAbBLlQEZShex1UaDlJBMmYj5ZWXzPOzhGrjkoc/0Z8xXhMzxXbZ51D9FFQIq
f+o+giu2sPfp1Zc1uOlKJA0RsspL0JeB2hK9HRZZHN9LC+5ySPm0uPGyEg5SBQufu1wmLhmitfMh
HqRzl5taFGqJOz5HXWScyZbJtnbszNdqab71Bog0QACLs43alDlzyuTVzLrSZY4ZgM2Z8SPihyiE
E4Ukz0RnYfafkdBWgd27+RHRfBSfph7J3HnmyNK+oPCVX5AyYU/BHXZ2ysY+4dU2H3KikkPNroZr
W8rWCfqx5JZNTdndYJr7wmo73GqAqrbGpH+zqvILQAUMWKVdtccxs4ZNQUDEBxQCQoZlp7xnMkCH
x0Vb7QVjVBBpGxVAA6h4lAfdGuwMCWRdFciTpulLgmBQDyF1pjhQ8B6QNZB1YoNu09jaLlpZjp+j
TlbVAteLMMzrpqWSjHlHReexMe4mWzwv0n/Wu2GDbtjfdq6OLsN3Uqo1lpu03R5Aj7HXkTx/siPv
MY6abzrHA+xsyPS2HV0kdpTsqz4kBbzdyvdW/JhjAKth7uA3xLhQZIL6Oz15jj8dZ7RV7JsdK2HR
i+Vk3EhfLvHei2BfBUPXPJep1gz3Xa/QFOpyl2lDdIdJqibgOG9u1GiOoVxFjYPu79FXJsccEW17
Nha0qYchEqUfeIPKTrmpw8lOJUH2m1mv7RtJmsPWNevkyIlXbNuGZGTHhfYpGsf7ZHWlsjf9ciIn
SzvEsNf3ucfyHjmGtrMjtre+rqZdtQZjA5/LP8825pYS19rJS12qen0JvwOtBrwdi6i8LrPPFKVz
EsJwLDmoRwJvzC0SCsr2KsvNJaxJ0duP0GGCUZTxzTTi9g2GbCFDotDto9173c2MZ+Vpwr8yFGB4
8jgsC8IAAS/UbJQ1s9xlzclR82ckpk5Ys4E+zpiftjZ/61TYen0jCrOl3WRp2MDaujUojeOSdI/A
yz1mqq49m35nPuInQBVK+EmY2GARAtUsCmFwVCNcKfL8eWHrA1LXnU5Y2PHbdeOXghhodvsD7HYa
n92Oah7mwmW8LZZYfaeKApKYAvyOHCar2BCIOuznSH61Igdjpov3a5M4lVjDpIZjVKqCElbUXafF
8GWlqOwI4hgP1dJOvKVRDdmgb6YJCnWZ9l+NitVm61quvLbKCFJ4LB5iWiMAlUvy0Ch2B13lZXvy
a8tNslAoazhtCRbYbeXWCn2fRrAMMYxHXa1eaj9Pjs5Ezs7aAD45PUB4VmxvJxvduB7w5BIb56YU
6or7aLXguDJ292zWpQfoO/2OlBsXo3KJmGdLZwVQGAvK5kZLuQdb2IZ2Qxvqq0pa1Kvd3FCBzSt6
kzQx20FsQ0FeQO7g5OuHNsFZV6pvo900tKe5LFtCcmb5atfdDDqpmWgPFM01tQp26IOVHLsFpbvf
l8fYhiXsx8N2yKffEXINW52KGeBzlhvwx0evk/EBtZMJQMa7HUV038sKm2BJ5pM3jPYZcGK568A7
xyq7H3Spnacku4O8h9p9Rlnf6cVt7JbLbiY5gKWRhE5944zSIdlJknqc49zY2CPpMR0Vjo9WTj1u
Griv9+2Qxs4VhUUKbgCL43prsHLiS0pnomSo6SgU7hZgRX3r0OfQt0nkcxguyY7WPk/SmFWYuhTA
cXdDk+IsXMHbgftekGXk9kKoQ2OnD7bbORlu/4WtjESxTDuDcldQo5/ZGGRf10g4u/KbqsVMCAu0
gA9GbWhJ2GTd8slshvlTWevzldtnAqdZJfet0tCXkysCsVIoCh+6k09M/UXFPRiT/qBKfaHPxYzp
get/URnYRvZz2dWok1+9QalV3nvLAP5JL2UIJ26LDXKCwujFr60xaOB3J/tOKq/dTV4Ljg8PbbUp
K6bXnJoXumyFtAFZavxkqagBI1T2m44IazYdpbkSOhdrDHWIjpupHgApsboBJyLO3Tx1zVAm297o
UOXRRht8XLvZqO9sTBMUc1SClUC6RAwsOQdtJQWemsWT43DUEzWciiTXjlrbAsHnXAbBBDGG/0HY
mtMHdb+06Q7zImRQz6fdmJiDE+Zxqz8TvgTNcM707OwlXXtP8XiStNdUii0YObkELLDrUFkcFpHM
4wZVw6hvdNW5RI9joPlUgCYKI+mL6zLzVnQqD/8zsETyqqS9N/toINMBww9doWqi+0ftLpC1SRYa
HAW87kTUbc1ZK28ttR5i2QG1+ArxWR2t1NI/4YnNAoSAEZj5wQRp3SirGhkuvY4duu8/M3kvW5Ob
BIlV/I49gWgYlyPmhicatXC4dcVJsyMpauqHTG26wTaCHhZWE1hOAkyylR6szTwZtsD3bsgWwIg8
lf31NLj20Um8RgWob+yzLLohx6pQFXtrdTT4PLQrb5DtGBaVpV7nyCNyiD33R0M57imyUPOvpgmX
1Fa2ZmEUi9i/AQdqBoZyP/elKT+piCqRE9sWonVCw43Z1o8dLdQOM3nmPJuNRStYepTLUsQWrCWG
f1NkSn0ztCimKpiKF+bT9CqdNMDcGLY+jzi/FI6k0iWzp8V0EyJVx2TTkx2mqt68H0RtbsHaw3mm
f7uluebv/bkctvY8jtRUxglPNaBYidGDQMtpDjIbcH+dN8kLLmhyroy6tnYirZGZNaIBiAnpKSjr
mfCLqG9hbhEgZoy6+4pwab5GkrTcenA7H5oJzUjAfJ6BexXy0a/04nMs9CIOQVP7YFPj6AoMm36l
NxE6J8brSW9j52wuPRQGvamPBoXjrbbgMYBk2GxV5Qr2/jC5bTsaAmybSc7UXFa7yYFwnRVadZx1
9uIN5IvHuitMuoTdtm/ajLhiutVZVo63mesaJyaJEaBUwsviYs6RxKoQE4wkNNFarFdlRlw70Wp1
kI+qxWYkedc7Kzs1KXsUYlFaNlB98TXJHXs5EIow4WodnO9jX0+vTgn3PmgKf74ZDWM2d1Nn1T9U
JP89///y/H8RUPzk/J/Kr3VFrMLbs//lp/559vec3y4yMQ7+gD/fsLJ94zcKWg6SOioCiDVW7d8f
Z39E3mR2Wh6SEMtw0cb879nfMn7jiO6iZwDxs8oG/y2Sz3vhje+DBMK6aq3AoBXo/VbghTAxyQcq
5T+aTV0JfMcWVAsXRSZI0He0Pv9UIPkbpeffXZBiCDrPVXfjiHegwpxv3RhNaZ9MjDChGKd0v6zq
NafwGOasPL+QsL0tbSDf4gu6lsP9Ql7pQX54+wX9zOFIg1z25NaJ85KtrcVLs0ra46+Eee+1N1yK
R40kEEGi7uoglt6I5bpkSuIhF9YpX3vwqYtUFV8MpUnHiKmqEhTy5OYZ9cq1Ufvzu/o335KRhIQY
fwEy2vcFnKll5tC1zjpJA1la5TWrDM+uVptcTBvl5xcT7+WjfFFGoCBFyQGX670XGc2Eh7INSi2i
YBDz0gKmI7GZMp1m2Ni7LLQVMpzkChsv7U7V0SSnBlrTtpzJRwt0Nuy/0Or99etTC/MgZWGQdlzL
WJ/Mn2SKGSFOA0o36+RNHKoDmMyrIivnj//sWmuWGLpIErFR1r29FrEWeoHDwTqZckJPYGnylbP1
fD+sbbWf3+h1wPxZvIfhGt0edTnbxbIEV/btpcBjr+XnwTqNUfJdGhC3aWD+u6rKy0UQeF/+ySz1
btQibLPc3iis05IjXMu8kWamt7IDBb23X6mdxXp33n8lIoSFgd2EW/heUEpMpxgXUEanzICaF14E
lCLS6L4VnWyevTanI+ooXtJVcKqS3jyCFTR/WBb+/7rW9ctSKAOexau6Nhne3tkI1iVxhrl1mr3e
uDLzispdu7ZGGk0yQml8lts8N+jVqQUoKaEYvLz2qoBmBvmVAv3vRq9lEVmA447J6r0UMSfxeC5z
AmnlSN/40qeaKrSBdDL97c9H1N9dyqGYjIKWpcV4P6LmxqPF7rbmKbW5vb6/ooGJN2Kq98Bt/kKN
+HaqZ/pecyB0lygGg8v9Zfg2SY/LuG20qwiNAIx2guqeKxOhyzIhVBorxezw868n3k7B6yVdj7XR
pNa+PuD3avomX8jsI5riSucovre8ikaf7CQ+mElDKy2x9rCfpxvIgQdVQcwrVaIePJHnSjsPmzms
orVZdplBfkg91IKaAlgafnkqusgyfv6R7csS+3+vBI4PBxLBKmLH0kEi+Hv8OD6fzJo5wF0R+1vu
yBRednXqkOYpZD5gJS4VmmKahV0dBXXWKGcr+GXnDnEFyWBZQeeZLCMeZGTH/etC0N3rbJATuPnR
1TbQMCYhnSFUGLagzYvFFh3QpekJKr476Bk/1q1KGlfxcwAADPM4GVn73K+qVS+2YOFl3EDo75m6
w5aIlgjbiv8E2lLLAKpGrTgIYu4oVrvwb8LST5w8KLo0MsmFSk1nX1Qt11gFKhfcX9t6ABqs0YJq
SbUSHkRCJOmmsWihotnrl71Gy825umhzZR+X6PA6USVXnE77V1Sk7TOJGUZzVYpU3QsquHea0Wto
PUCOp1+E8nlk7kKUZ76Z0Ic8kc7E2Otz5yXHv0lzgJr0ixI+AjnRrCv0iHCrRCb1tVki4zC2bnvf
OX25tyfa3mSGWSAMpT8Sn+3brDAX9ZFGY+CEpgHNb4RMwZyt+Z70rehJWUa6vwjkL9LxS4e6Xwzu
jz9F7r2U8fJkjEjLGn+VA1zMdmLu5GsOZptEH7MnEkFGgnwu1WF1bRR/Cxs6iMGo4reUa9t96blv
+P5py15WuYqVGseuA3dblUmXHWJrxgmqXHdtVCcOWUMlNXD3Klk3JheN/kV8p2cG3W/UtPO20DVk
QxeBVJu2jBqqpvaL6+TcTWr9DeWP2lNkBOqR61xdWska+ha5l9aIRNyYVwOIabtr9hWhbq9OnfD+
1Xqs4m25eOI20RC+hsom2zJA0IdywcXWS9Hn4mkXFUTezUjL90nqWPX3Xk+OCIXNGfCNx1rUU42f
d6pgXd6gqaW/32CSv1mIj40DkSLhBi5ovzioabHsVJ1PrJsS3UNsLsZhWSaYCEbsWF+qcawevSVV
N7Aai5BKeS02aAKEx9FT767SosZcWKxSQlnM0CarpR5CXUYO6pwlJfvDQRe7ce1M3Xo6RcLSSkhT
KHOfDG5bUlKnnRWoalGPOYDa7VAnTXNFsQCTL2MSEBeH9jOSEWKhsmgoEQx0/XfPWiAMGO5wC1Ef
QJiaM9yKQ87MFCyrqotTKvbrHsPHZweqn9yBNnC+4iTEg95X1TVS5y7erUYOMAZDk4Yiq8kUrIf6
1qdNAZ9zkcmXeFXgunVP9ZzD9B4dYnQSqnfbvScn5xn2Owjcqlm+YMWsr0yL5EocX9bypSranLOw
sQSSkmYHm9kGCpdP1ZeM7lQfoi2XYa537n7djFLBmdE8h6vFYNuyB1xBe+UOezPhKgmku6rWo/uB
6tURO0tzzDooUsoe1LcorqdtoqXamfD58nOaj1YANgogdpXCpGxluqF88OL2sBs9hG5hZJRJMIyd
2JUc47PO09CfIVim7RnVNUdprPQUmdGf9gEqBdcEQ0ZtN67XJ99M1+x0vQM+fBI6qxSuthVBOqev
5kdQI2mKenUjkeVJgL61onVT1sPHJnfaJhgruRtWQn2V6F8LV9af/SI1QISIeSc1IsmHgs/hR315
ZlUiL2Zher92rHaCRKfzRF1cCNfoD6o7LF8NhDF6VYHmsCN7ucgGNSPjlZCrtHNbN72RnYg7WStZ
5oyGjtm2f407nQmpXnzxqAjiIQaxR8nauaBttt5A0We7JqoiqCIkFQ05UtyFwHsSXiOBYPaieHFV
0R16Wi9oMQY7QsNoWLRru2L9bWJu5P6HDw+nxArBwuyrzZyjpETWGjo0Th/HxuLVHxK7PVgzqNDD
RXzaNAzbteaxto/R6jwbdRuzn0vgbAizNmrgAokEckWd0Gu+q2a0Vmkx2LTC7eW2yqzpG56Ulvy8
XLM/oef3j13iy0NBOSfZVHOc0jETWfK7HPuXDFnV1rbSmABGxfTxuaBvpj2ALMW56xkJZW7UMoFT
pPk2mab2kGnOsiOdovmIk6F0N2BMp4/0lMt7JIrfjWL5PBuW+JD3BsIVpwBJZvhgTayhMV7jPolf
lzSdHuLB5cnxxhNGiC7LR4oIuBaifAqppy2kewXjDpT5PBVNCbSLeTzIYQFMh96f9ZPV1uqmlRTP
HPCB2qYr84H+LU+BtDjqCU9aRdT0FoxAcTN3nfUBBmvxoRXWcF+mXhuQB0kbZdSKLYVY83fShMYT
4E7KcnZkpM5GeiZ0xYR61DQsk78p24Lpwo9saIeedYVd4feo0aaHqY9zfHQDYEdK+V/yycnjoCsS
On9ZJZA+KzO+9RHN3HT0uq40f/KdTTLG8sVIpwZ+Ov3CKrWHk3B0Dd8FMavdXjDl7QgKB22Ei9Ig
cJEsN2rYeAEfnbxpQIqby0OTJiR0qmE590Q3bvwxnp6Hom/pWUhppVdzOs92AORBA8sakRV468wI
3PZ+MsgDp1ztOnOX+iNGZ8MPtHwoCTPQXD1HF+VNtxMr/HcxtvJmaJpxP7MQnqpMlkXY+ElE91Fw
vEiY3PYEiYgUSXmD2Doe3fEcGyNV5SqLyFwE9tQ953NPqoUq7Os5NZhGUQGA426bsZpCo+yGiEZs
bdz0rlrsDQ4qcJhe4VpMiGL6VhtElux8QqLQAqLvsqzW2JqFsxzk4Kb3shTtx0Eo+eQVEAfHGTP+
klH4zF3HgieH7I2GWuaGZjO5KbCrJXnFoMM61OtkCUGTTYvQ4lbdjQvnlKpAXBHYMCM+4A+bP+rd
pMGp6OkUpWZr7v6Hu2vrTZsJon8l6nskMAaD9DVSbm1oP0J6b5+qjdngLY6XeNfB5Nf3rO0lrHFs
FW8jpVJeAOd4djx7mfHMmeFhL/bQqTzqv7kTHqi1uMNG4m0C271BolL6bTnsSX/VB9fWaiDRo7CD
RG/wkILYPUS/89ADv+UQeXsgb71jZ3GAaqYLTy5v+kE6vxK/UFZw8sCEfNdDX06O7HLwSYLd4259
4iKzDqw2UTw9BA3fudMZ/JRno7lis3pYpykqirgHDrvElUP0AAOx4qHr3X9HlySOspr5w68p8sK8
DhoQROE0GoUhKP6d9BCFwz08tRABJBdl+uh7m3xNg7v0p3uSndf/mVhoMRDFO36etQT8kNB4/ZEK
zBihKb9PAxbOsp8ZFX9ywdMABcn5ePb6lbNFLp7dSYVZ83vTTZfCIzK7ZSjOEjJmvvxPib31Y/Z5
Tvn2vxcj25W9Uij95QWjMYn9YJ1rw+BiPw7JNTEbx6vyOR3MrYwOb4LBDcBiYSSEgXUCoZDHEb5+
ZYx/y2esxUU3aW6yxiMKBSe/PfCCRIIIjaQeI97AIfDXFvmUhOiwF5fy4/r9EcqqW2PzkMdkxjWS
khol/IhDtEcGWaMvmZ9IDZaBo6xAf97fOs5oSFYkphpJIaNrpQVl6+l0wG8OTjkYtq/NtEQwTViw
wjfQOpuZ5o3ye0Qn26r9LeXIpTSRUS6GkGRb5AtonDGNk5l3L3vh0hZ4PCOBYYBd1+taWELGqMuK
ODNnJBKoLNjfOJqhEaSpZZRCW3h+Y74qwaJyXit9/wnzfndtwnuFrgVgPP3EX6w1UmYXA2hZf7G/
zP/zhIkdNY+coQXbmBAWGasHHFQb28uE4Oxa7vzbAStfe3VMiBDEx4GcSmnYNELwrg2VMD9gc2K8
iHWQw2VhL5gwRdzLpWHZIMRR7bDarh4TJoT6Wy6NtQlMqh1L6DyJy9BWBOeRLK0hKsg/aq+SS3od
o5TZ1LaDdFAb0PfE3LccUJ9ZOD5d0tXBBbldioCZ2zrwRxZmj8J/R2NB11oJaqVCSKprCXxCU+Yb
2xjAbezoSvIfPF6U5B5YWLwv0USiupOS0xt0rd3gjCzKcx9vaSwcSaYBMzXuwlq0nvbfeKaLECcS
06sBw9TIwiI7jencJDNzXKQAtJf5CtzoYh3ek5KbgAQDx4LcTV3tN07pfl7Zp8aWXlZusGuIqmOY
hfNgLTN9S9E/09T0KnsQ2sKK+xTbZktxv9L4Fjubtmi1yvawFVvYiyurxPAy2MJCUs8z2FIjjSVu
bfHrUujaYoOyBgSMxtMcINlLf/HUIlsVaToyQlLnSjIzdtZ4wSb6dgXfP5IVEM1X6KhWBURxFs1c
mNxP3ISqslutiwvyNoRl9/IpVRQpNY8Sa5jsAKJS3HCXQl8VQuVxxxqpGy/YHlYW6qob1bEZH3sJ
g8I5S+2gdaMqn6FexrD6qk1J7bCy89vxLUUAmJhTEkm1Ei6uWog3CFvWtW2DaEzs4dSEy57JClV0
+1Gqiqn1JWKSzg4+SSLpxtXNn5nPk0iqaDxoGeCqNo0NXAyFEp9pbMXmvJGrYnTGhv4SLPHRQPK1
rGJMpvEtEQKhueU9k9rzaHid1nej6H9Z9U0jx1alLvFDSuKj3wAAAP//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accent6">
                  <a:lumMod val="75000"/>
                </a:schemeClr>
              </a:solidFill>
            </a:defRPr>
          </a:pPr>
          <a:endParaRPr lang="en-US" sz="900" b="1" i="0" u="none" strike="noStrike" baseline="0">
            <a:solidFill>
              <a:schemeClr val="accent6">
                <a:lumMod val="75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hyperlink" Target="#Consumption!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67585</xdr:rowOff>
    </xdr:from>
    <xdr:to>
      <xdr:col>3</xdr:col>
      <xdr:colOff>0</xdr:colOff>
      <xdr:row>17</xdr:row>
      <xdr:rowOff>23854</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287782ED-A617-B281-449D-38168CEBD5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785067"/>
              <a:ext cx="2313830" cy="14829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186855</xdr:colOff>
      <xdr:row>8</xdr:row>
      <xdr:rowOff>87465</xdr:rowOff>
    </xdr:from>
    <xdr:to>
      <xdr:col>6</xdr:col>
      <xdr:colOff>707666</xdr:colOff>
      <xdr:row>21</xdr:row>
      <xdr:rowOff>75538</xdr:rowOff>
    </xdr:to>
    <xdr:graphicFrame macro="">
      <xdr:nvGraphicFramePr>
        <xdr:cNvPr id="5" name="Chart 4">
          <a:extLst>
            <a:ext uri="{FF2B5EF4-FFF2-40B4-BE49-F238E27FC236}">
              <a16:creationId xmlns:a16="http://schemas.microsoft.com/office/drawing/2014/main" id="{274F5F6B-6290-6051-A598-172CE3539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659958</xdr:colOff>
      <xdr:row>10</xdr:row>
      <xdr:rowOff>63610</xdr:rowOff>
    </xdr:from>
    <xdr:to>
      <xdr:col>12</xdr:col>
      <xdr:colOff>274319</xdr:colOff>
      <xdr:row>21</xdr:row>
      <xdr:rowOff>67586</xdr:rowOff>
    </xdr:to>
    <xdr:graphicFrame macro="">
      <xdr:nvGraphicFramePr>
        <xdr:cNvPr id="6" name="Chart 5">
          <a:extLst>
            <a:ext uri="{FF2B5EF4-FFF2-40B4-BE49-F238E27FC236}">
              <a16:creationId xmlns:a16="http://schemas.microsoft.com/office/drawing/2014/main" id="{5E63644C-B492-965F-4335-553A8A238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636105</xdr:colOff>
      <xdr:row>8</xdr:row>
      <xdr:rowOff>159027</xdr:rowOff>
    </xdr:from>
    <xdr:to>
      <xdr:col>14</xdr:col>
      <xdr:colOff>600323</xdr:colOff>
      <xdr:row>23</xdr:row>
      <xdr:rowOff>99391</xdr:rowOff>
    </xdr:to>
    <xdr:graphicFrame macro="">
      <xdr:nvGraphicFramePr>
        <xdr:cNvPr id="7" name="Chart 6">
          <a:extLst>
            <a:ext uri="{FF2B5EF4-FFF2-40B4-BE49-F238E27FC236}">
              <a16:creationId xmlns:a16="http://schemas.microsoft.com/office/drawing/2014/main" id="{22D22A0E-C7F9-2F2D-FBE8-BCEDEA72F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592371</xdr:colOff>
      <xdr:row>9</xdr:row>
      <xdr:rowOff>131196</xdr:rowOff>
    </xdr:from>
    <xdr:to>
      <xdr:col>21</xdr:col>
      <xdr:colOff>377686</xdr:colOff>
      <xdr:row>24</xdr:row>
      <xdr:rowOff>11927</xdr:rowOff>
    </xdr:to>
    <xdr:graphicFrame macro="">
      <xdr:nvGraphicFramePr>
        <xdr:cNvPr id="8" name="Chart 7">
          <a:extLst>
            <a:ext uri="{FF2B5EF4-FFF2-40B4-BE49-F238E27FC236}">
              <a16:creationId xmlns:a16="http://schemas.microsoft.com/office/drawing/2014/main" id="{C9D14000-4107-CFAA-EE30-FCAE30AD8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38977</xdr:colOff>
      <xdr:row>0</xdr:row>
      <xdr:rowOff>31805</xdr:rowOff>
    </xdr:from>
    <xdr:to>
      <xdr:col>23</xdr:col>
      <xdr:colOff>38978</xdr:colOff>
      <xdr:row>33</xdr:row>
      <xdr:rowOff>0</xdr:rowOff>
    </xdr:to>
    <xdr:sp macro="" textlink="">
      <xdr:nvSpPr>
        <xdr:cNvPr id="20" name="Rectangle: Rounded Corners 19">
          <a:extLst>
            <a:ext uri="{FF2B5EF4-FFF2-40B4-BE49-F238E27FC236}">
              <a16:creationId xmlns:a16="http://schemas.microsoft.com/office/drawing/2014/main" id="{4B30924A-BF66-4262-A75F-79CE64202F7A}"/>
            </a:ext>
          </a:extLst>
        </xdr:cNvPr>
        <xdr:cNvSpPr/>
      </xdr:nvSpPr>
      <xdr:spPr>
        <a:xfrm>
          <a:off x="38977" y="31805"/>
          <a:ext cx="14630401" cy="6265628"/>
        </a:xfrm>
        <a:prstGeom prst="roundRect">
          <a:avLst>
            <a:gd name="adj" fmla="val 7382"/>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205425</xdr:colOff>
      <xdr:row>1</xdr:row>
      <xdr:rowOff>121184</xdr:rowOff>
    </xdr:from>
    <xdr:to>
      <xdr:col>3</xdr:col>
      <xdr:colOff>0</xdr:colOff>
      <xdr:row>31</xdr:row>
      <xdr:rowOff>103367</xdr:rowOff>
    </xdr:to>
    <xdr:sp macro="" textlink="">
      <xdr:nvSpPr>
        <xdr:cNvPr id="6" name="Rectangle: Rounded Corners 5">
          <a:extLst>
            <a:ext uri="{FF2B5EF4-FFF2-40B4-BE49-F238E27FC236}">
              <a16:creationId xmlns:a16="http://schemas.microsoft.com/office/drawing/2014/main" id="{01943B2A-6BE5-4231-91FD-818700447F9C}"/>
            </a:ext>
          </a:extLst>
        </xdr:cNvPr>
        <xdr:cNvSpPr/>
      </xdr:nvSpPr>
      <xdr:spPr>
        <a:xfrm>
          <a:off x="205425" y="312015"/>
          <a:ext cx="1702888" cy="5707122"/>
        </a:xfrm>
        <a:prstGeom prst="roundRect">
          <a:avLst>
            <a:gd name="adj" fmla="val 12931"/>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123756</xdr:colOff>
      <xdr:row>1</xdr:row>
      <xdr:rowOff>121185</xdr:rowOff>
    </xdr:from>
    <xdr:to>
      <xdr:col>6</xdr:col>
      <xdr:colOff>232064</xdr:colOff>
      <xdr:row>7</xdr:row>
      <xdr:rowOff>25497</xdr:rowOff>
    </xdr:to>
    <xdr:sp macro="" textlink="Pivots!T5">
      <xdr:nvSpPr>
        <xdr:cNvPr id="7" name="Rectangle: Rounded Corners 6">
          <a:extLst>
            <a:ext uri="{FF2B5EF4-FFF2-40B4-BE49-F238E27FC236}">
              <a16:creationId xmlns:a16="http://schemas.microsoft.com/office/drawing/2014/main" id="{42DFB784-203F-4CCA-883C-74BF4E7C14A2}"/>
            </a:ext>
          </a:extLst>
        </xdr:cNvPr>
        <xdr:cNvSpPr/>
      </xdr:nvSpPr>
      <xdr:spPr>
        <a:xfrm>
          <a:off x="203206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47A1B3-765C-40D5-8DDC-BC51D8C00332}" type="TxLink">
            <a:rPr lang="en-US" sz="1800" b="1" i="0" u="none" strike="noStrike">
              <a:solidFill>
                <a:schemeClr val="accent6">
                  <a:lumMod val="75000"/>
                </a:schemeClr>
              </a:solidFill>
              <a:latin typeface="Aptos Narrow"/>
            </a:rPr>
            <a:pPr algn="ctr"/>
            <a:t>Total Cost
$3,158,569</a:t>
          </a:fld>
          <a:endParaRPr lang="en-US" sz="1800" b="1">
            <a:solidFill>
              <a:schemeClr val="accent6">
                <a:lumMod val="75000"/>
              </a:schemeClr>
            </a:solidFill>
          </a:endParaRPr>
        </a:p>
      </xdr:txBody>
    </xdr:sp>
    <xdr:clientData/>
  </xdr:twoCellAnchor>
  <xdr:twoCellAnchor>
    <xdr:from>
      <xdr:col>6</xdr:col>
      <xdr:colOff>271253</xdr:colOff>
      <xdr:row>1</xdr:row>
      <xdr:rowOff>121185</xdr:rowOff>
    </xdr:from>
    <xdr:to>
      <xdr:col>9</xdr:col>
      <xdr:colOff>379560</xdr:colOff>
      <xdr:row>7</xdr:row>
      <xdr:rowOff>25497</xdr:rowOff>
    </xdr:to>
    <xdr:sp macro="" textlink="Pivots!U5">
      <xdr:nvSpPr>
        <xdr:cNvPr id="8" name="Rectangle: Rounded Corners 7">
          <a:extLst>
            <a:ext uri="{FF2B5EF4-FFF2-40B4-BE49-F238E27FC236}">
              <a16:creationId xmlns:a16="http://schemas.microsoft.com/office/drawing/2014/main" id="{62E8C3EE-3D10-40A4-B3F2-D387815386DF}"/>
            </a:ext>
          </a:extLst>
        </xdr:cNvPr>
        <xdr:cNvSpPr/>
      </xdr:nvSpPr>
      <xdr:spPr>
        <a:xfrm>
          <a:off x="4087879" y="312016"/>
          <a:ext cx="2016620"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8CA2EE-C01C-4B54-A4FF-88A793308B40}" type="TxLink">
            <a:rPr lang="en-US" sz="1800" b="1" i="0" u="none" strike="noStrike">
              <a:solidFill>
                <a:schemeClr val="accent6">
                  <a:lumMod val="75000"/>
                </a:schemeClr>
              </a:solidFill>
              <a:latin typeface="Aptos Narrow"/>
            </a:rPr>
            <a:pPr algn="ctr"/>
            <a:t>Median Cost
$4,024</a:t>
          </a:fld>
          <a:endParaRPr lang="en-US" sz="1800" b="1">
            <a:solidFill>
              <a:schemeClr val="accent6">
                <a:lumMod val="75000"/>
              </a:schemeClr>
            </a:solidFill>
          </a:endParaRPr>
        </a:p>
      </xdr:txBody>
    </xdr:sp>
    <xdr:clientData/>
  </xdr:twoCellAnchor>
  <xdr:twoCellAnchor>
    <xdr:from>
      <xdr:col>9</xdr:col>
      <xdr:colOff>418750</xdr:colOff>
      <xdr:row>1</xdr:row>
      <xdr:rowOff>121185</xdr:rowOff>
    </xdr:from>
    <xdr:to>
      <xdr:col>12</xdr:col>
      <xdr:colOff>527058</xdr:colOff>
      <xdr:row>7</xdr:row>
      <xdr:rowOff>25497</xdr:rowOff>
    </xdr:to>
    <xdr:sp macro="" textlink="Pivots!V5">
      <xdr:nvSpPr>
        <xdr:cNvPr id="9" name="Rectangle: Rounded Corners 8">
          <a:extLst>
            <a:ext uri="{FF2B5EF4-FFF2-40B4-BE49-F238E27FC236}">
              <a16:creationId xmlns:a16="http://schemas.microsoft.com/office/drawing/2014/main" id="{0EEE8D48-F160-403B-9BFC-77FD5FC5B2A3}"/>
            </a:ext>
          </a:extLst>
        </xdr:cNvPr>
        <xdr:cNvSpPr/>
      </xdr:nvSpPr>
      <xdr:spPr>
        <a:xfrm>
          <a:off x="614368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E928EE-161D-4A30-842C-2F8D87DBBC4B}" type="TxLink">
            <a:rPr lang="en-US" sz="1600" b="1" i="0" u="none" strike="noStrike">
              <a:solidFill>
                <a:schemeClr val="accent6">
                  <a:lumMod val="75000"/>
                </a:schemeClr>
              </a:solidFill>
              <a:latin typeface="Aptos Narrow"/>
            </a:rPr>
            <a:pPr algn="ctr"/>
            <a:t>Number of Buildings
11</a:t>
          </a:fld>
          <a:endParaRPr lang="en-US" sz="1600" b="1">
            <a:solidFill>
              <a:schemeClr val="accent6">
                <a:lumMod val="75000"/>
              </a:schemeClr>
            </a:solidFill>
          </a:endParaRPr>
        </a:p>
      </xdr:txBody>
    </xdr:sp>
    <xdr:clientData/>
  </xdr:twoCellAnchor>
  <xdr:twoCellAnchor>
    <xdr:from>
      <xdr:col>12</xdr:col>
      <xdr:colOff>566285</xdr:colOff>
      <xdr:row>1</xdr:row>
      <xdr:rowOff>121185</xdr:rowOff>
    </xdr:from>
    <xdr:to>
      <xdr:col>16</xdr:col>
      <xdr:colOff>38411</xdr:colOff>
      <xdr:row>7</xdr:row>
      <xdr:rowOff>25497</xdr:rowOff>
    </xdr:to>
    <xdr:sp macro="" textlink="Pivots!W5">
      <xdr:nvSpPr>
        <xdr:cNvPr id="10" name="Rectangle: Rounded Corners 9">
          <a:extLst>
            <a:ext uri="{FF2B5EF4-FFF2-40B4-BE49-F238E27FC236}">
              <a16:creationId xmlns:a16="http://schemas.microsoft.com/office/drawing/2014/main" id="{7CB5BEFE-8302-4F2B-A339-7924ACABF175}"/>
            </a:ext>
          </a:extLst>
        </xdr:cNvPr>
        <xdr:cNvSpPr/>
      </xdr:nvSpPr>
      <xdr:spPr>
        <a:xfrm>
          <a:off x="8199537" y="312016"/>
          <a:ext cx="2016544"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585AB3-2836-4073-9743-308B61440788}" type="TxLink">
            <a:rPr lang="en-US" sz="1800" b="1" i="0" u="none" strike="noStrike">
              <a:solidFill>
                <a:schemeClr val="accent6">
                  <a:lumMod val="75000"/>
                </a:schemeClr>
              </a:solidFill>
              <a:latin typeface="Aptos Narrow"/>
            </a:rPr>
            <a:pPr algn="ctr"/>
            <a:t>Electricity Cost
$394,720</a:t>
          </a:fld>
          <a:endParaRPr lang="en-US" sz="1800" b="1">
            <a:solidFill>
              <a:schemeClr val="accent6">
                <a:lumMod val="75000"/>
              </a:schemeClr>
            </a:solidFill>
          </a:endParaRPr>
        </a:p>
      </xdr:txBody>
    </xdr:sp>
    <xdr:clientData/>
  </xdr:twoCellAnchor>
  <xdr:twoCellAnchor>
    <xdr:from>
      <xdr:col>16</xdr:col>
      <xdr:colOff>77639</xdr:colOff>
      <xdr:row>1</xdr:row>
      <xdr:rowOff>121185</xdr:rowOff>
    </xdr:from>
    <xdr:to>
      <xdr:col>19</xdr:col>
      <xdr:colOff>185947</xdr:colOff>
      <xdr:row>7</xdr:row>
      <xdr:rowOff>25497</xdr:rowOff>
    </xdr:to>
    <xdr:sp macro="" textlink="Pivots!Y5">
      <xdr:nvSpPr>
        <xdr:cNvPr id="11" name="Rectangle: Rounded Corners 10">
          <a:extLst>
            <a:ext uri="{FF2B5EF4-FFF2-40B4-BE49-F238E27FC236}">
              <a16:creationId xmlns:a16="http://schemas.microsoft.com/office/drawing/2014/main" id="{196171C0-84F4-47AF-9B14-2874E70F4723}"/>
            </a:ext>
          </a:extLst>
        </xdr:cNvPr>
        <xdr:cNvSpPr/>
      </xdr:nvSpPr>
      <xdr:spPr>
        <a:xfrm>
          <a:off x="1025530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FFDC66-8B92-4582-958E-1272AEDFE3D3}" type="TxLink">
            <a:rPr lang="en-US" sz="1800" b="1" i="0" u="none" strike="noStrike">
              <a:solidFill>
                <a:schemeClr val="accent6">
                  <a:lumMod val="75000"/>
                </a:schemeClr>
              </a:solidFill>
              <a:latin typeface="Aptos Narrow"/>
            </a:rPr>
            <a:pPr algn="ctr"/>
            <a:t>Gas Cost
$504,523</a:t>
          </a:fld>
          <a:endParaRPr lang="en-US" sz="1800" b="1">
            <a:solidFill>
              <a:schemeClr val="accent6">
                <a:lumMod val="75000"/>
              </a:schemeClr>
            </a:solidFill>
          </a:endParaRPr>
        </a:p>
      </xdr:txBody>
    </xdr:sp>
    <xdr:clientData/>
  </xdr:twoCellAnchor>
  <xdr:twoCellAnchor>
    <xdr:from>
      <xdr:col>19</xdr:col>
      <xdr:colOff>225136</xdr:colOff>
      <xdr:row>1</xdr:row>
      <xdr:rowOff>121185</xdr:rowOff>
    </xdr:from>
    <xdr:to>
      <xdr:col>22</xdr:col>
      <xdr:colOff>333443</xdr:colOff>
      <xdr:row>7</xdr:row>
      <xdr:rowOff>25497</xdr:rowOff>
    </xdr:to>
    <xdr:sp macro="" textlink="Pivots!AA5">
      <xdr:nvSpPr>
        <xdr:cNvPr id="12" name="Rectangle: Rounded Corners 11">
          <a:extLst>
            <a:ext uri="{FF2B5EF4-FFF2-40B4-BE49-F238E27FC236}">
              <a16:creationId xmlns:a16="http://schemas.microsoft.com/office/drawing/2014/main" id="{9E835258-FD32-44CF-BB44-15636D492E48}"/>
            </a:ext>
          </a:extLst>
        </xdr:cNvPr>
        <xdr:cNvSpPr/>
      </xdr:nvSpPr>
      <xdr:spPr>
        <a:xfrm>
          <a:off x="12311119" y="312016"/>
          <a:ext cx="2016620"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2E4AA6-85E3-4F00-BFC6-8B8135D41B1B}" type="TxLink">
            <a:rPr lang="en-US" sz="1800" b="1" i="0" u="none" strike="noStrike">
              <a:solidFill>
                <a:schemeClr val="accent6">
                  <a:lumMod val="75000"/>
                </a:schemeClr>
              </a:solidFill>
              <a:latin typeface="Aptos Narrow"/>
            </a:rPr>
            <a:pPr algn="ctr"/>
            <a:t>Water Cost
$2,259,326</a:t>
          </a:fld>
          <a:endParaRPr lang="en-US" sz="1800" b="1">
            <a:solidFill>
              <a:schemeClr val="accent6">
                <a:lumMod val="75000"/>
              </a:schemeClr>
            </a:solidFill>
          </a:endParaRPr>
        </a:p>
      </xdr:txBody>
    </xdr:sp>
    <xdr:clientData/>
  </xdr:twoCellAnchor>
  <xdr:twoCellAnchor>
    <xdr:from>
      <xdr:col>3</xdr:col>
      <xdr:colOff>173789</xdr:colOff>
      <xdr:row>7</xdr:row>
      <xdr:rowOff>166978</xdr:rowOff>
    </xdr:from>
    <xdr:to>
      <xdr:col>12</xdr:col>
      <xdr:colOff>496636</xdr:colOff>
      <xdr:row>19</xdr:row>
      <xdr:rowOff>164299</xdr:rowOff>
    </xdr:to>
    <xdr:sp macro="" textlink="">
      <xdr:nvSpPr>
        <xdr:cNvPr id="13" name="Rectangle: Rounded Corners 12">
          <a:extLst>
            <a:ext uri="{FF2B5EF4-FFF2-40B4-BE49-F238E27FC236}">
              <a16:creationId xmlns:a16="http://schemas.microsoft.com/office/drawing/2014/main" id="{C26174B8-A715-4CB1-B011-B6D56946FA43}"/>
            </a:ext>
          </a:extLst>
        </xdr:cNvPr>
        <xdr:cNvSpPr/>
      </xdr:nvSpPr>
      <xdr:spPr>
        <a:xfrm>
          <a:off x="2082102" y="1502797"/>
          <a:ext cx="6047786" cy="2287297"/>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613935</xdr:colOff>
      <xdr:row>7</xdr:row>
      <xdr:rowOff>175105</xdr:rowOff>
    </xdr:from>
    <xdr:to>
      <xdr:col>22</xdr:col>
      <xdr:colOff>300598</xdr:colOff>
      <xdr:row>19</xdr:row>
      <xdr:rowOff>164299</xdr:rowOff>
    </xdr:to>
    <xdr:sp macro="" textlink="">
      <xdr:nvSpPr>
        <xdr:cNvPr id="14" name="Rectangle: Rounded Corners 13">
          <a:extLst>
            <a:ext uri="{FF2B5EF4-FFF2-40B4-BE49-F238E27FC236}">
              <a16:creationId xmlns:a16="http://schemas.microsoft.com/office/drawing/2014/main" id="{49815237-4832-4525-B907-2DFC1C61E46A}"/>
            </a:ext>
          </a:extLst>
        </xdr:cNvPr>
        <xdr:cNvSpPr/>
      </xdr:nvSpPr>
      <xdr:spPr>
        <a:xfrm>
          <a:off x="8247187" y="1510924"/>
          <a:ext cx="6047707" cy="227917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445937</xdr:colOff>
      <xdr:row>20</xdr:row>
      <xdr:rowOff>173790</xdr:rowOff>
    </xdr:from>
    <xdr:to>
      <xdr:col>16</xdr:col>
      <xdr:colOff>26371</xdr:colOff>
      <xdr:row>31</xdr:row>
      <xdr:rowOff>173244</xdr:rowOff>
    </xdr:to>
    <xdr:sp macro="" textlink="">
      <xdr:nvSpPr>
        <xdr:cNvPr id="16" name="Rectangle: Rounded Corners 15">
          <a:extLst>
            <a:ext uri="{FF2B5EF4-FFF2-40B4-BE49-F238E27FC236}">
              <a16:creationId xmlns:a16="http://schemas.microsoft.com/office/drawing/2014/main" id="{43AA3983-026E-4E7D-BFCD-4FF3F77FA5F0}"/>
            </a:ext>
          </a:extLst>
        </xdr:cNvPr>
        <xdr:cNvSpPr/>
      </xdr:nvSpPr>
      <xdr:spPr>
        <a:xfrm>
          <a:off x="6170876" y="3990416"/>
          <a:ext cx="4033165"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104389</xdr:colOff>
      <xdr:row>20</xdr:row>
      <xdr:rowOff>173790</xdr:rowOff>
    </xdr:from>
    <xdr:to>
      <xdr:col>22</xdr:col>
      <xdr:colOff>321006</xdr:colOff>
      <xdr:row>31</xdr:row>
      <xdr:rowOff>173244</xdr:rowOff>
    </xdr:to>
    <xdr:sp macro="" textlink="">
      <xdr:nvSpPr>
        <xdr:cNvPr id="18" name="Rectangle: Rounded Corners 17">
          <a:extLst>
            <a:ext uri="{FF2B5EF4-FFF2-40B4-BE49-F238E27FC236}">
              <a16:creationId xmlns:a16="http://schemas.microsoft.com/office/drawing/2014/main" id="{D4A014B3-3A0E-42F0-A49B-EA8138D4BB3D}"/>
            </a:ext>
          </a:extLst>
        </xdr:cNvPr>
        <xdr:cNvSpPr/>
      </xdr:nvSpPr>
      <xdr:spPr>
        <a:xfrm>
          <a:off x="10282059" y="3990416"/>
          <a:ext cx="4033243"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151301</xdr:colOff>
      <xdr:row>20</xdr:row>
      <xdr:rowOff>173790</xdr:rowOff>
    </xdr:from>
    <xdr:to>
      <xdr:col>9</xdr:col>
      <xdr:colOff>367918</xdr:colOff>
      <xdr:row>31</xdr:row>
      <xdr:rowOff>173244</xdr:rowOff>
    </xdr:to>
    <xdr:sp macro="" textlink="">
      <xdr:nvSpPr>
        <xdr:cNvPr id="19" name="Rectangle: Rounded Corners 18">
          <a:extLst>
            <a:ext uri="{FF2B5EF4-FFF2-40B4-BE49-F238E27FC236}">
              <a16:creationId xmlns:a16="http://schemas.microsoft.com/office/drawing/2014/main" id="{5B7C4F49-515D-41ED-AA63-C1C778C4B3A0}"/>
            </a:ext>
          </a:extLst>
        </xdr:cNvPr>
        <xdr:cNvSpPr/>
      </xdr:nvSpPr>
      <xdr:spPr>
        <a:xfrm>
          <a:off x="2059614" y="3990416"/>
          <a:ext cx="4033243"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148481</xdr:colOff>
      <xdr:row>21</xdr:row>
      <xdr:rowOff>1721</xdr:rowOff>
    </xdr:from>
    <xdr:to>
      <xdr:col>22</xdr:col>
      <xdr:colOff>284072</xdr:colOff>
      <xdr:row>31</xdr:row>
      <xdr:rowOff>162825</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D6FC8E2A-EDF3-43AB-A72B-6BD3294E8D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326151" y="4009178"/>
              <a:ext cx="3952217" cy="20694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489336</xdr:colOff>
      <xdr:row>21</xdr:row>
      <xdr:rowOff>1721</xdr:rowOff>
    </xdr:from>
    <xdr:to>
      <xdr:col>15</xdr:col>
      <xdr:colOff>628653</xdr:colOff>
      <xdr:row>31</xdr:row>
      <xdr:rowOff>162825</xdr:rowOff>
    </xdr:to>
    <xdr:graphicFrame macro="">
      <xdr:nvGraphicFramePr>
        <xdr:cNvPr id="3" name="Chart 2">
          <a:extLst>
            <a:ext uri="{FF2B5EF4-FFF2-40B4-BE49-F238E27FC236}">
              <a16:creationId xmlns:a16="http://schemas.microsoft.com/office/drawing/2014/main" id="{B447710E-7174-4383-ACE1-A927482A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193934</xdr:colOff>
      <xdr:row>21</xdr:row>
      <xdr:rowOff>1721</xdr:rowOff>
    </xdr:from>
    <xdr:to>
      <xdr:col>9</xdr:col>
      <xdr:colOff>329525</xdr:colOff>
      <xdr:row>31</xdr:row>
      <xdr:rowOff>162825</xdr:rowOff>
    </xdr:to>
    <xdr:graphicFrame macro="">
      <xdr:nvGraphicFramePr>
        <xdr:cNvPr id="4" name="Chart 3">
          <a:extLst>
            <a:ext uri="{FF2B5EF4-FFF2-40B4-BE49-F238E27FC236}">
              <a16:creationId xmlns:a16="http://schemas.microsoft.com/office/drawing/2014/main" id="{16B0C020-E6A7-47AA-ADC3-0D35605D9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54736</xdr:colOff>
      <xdr:row>8</xdr:row>
      <xdr:rowOff>15903</xdr:rowOff>
    </xdr:from>
    <xdr:to>
      <xdr:col>22</xdr:col>
      <xdr:colOff>228428</xdr:colOff>
      <xdr:row>19</xdr:row>
      <xdr:rowOff>125070</xdr:rowOff>
    </xdr:to>
    <xdr:graphicFrame macro="">
      <xdr:nvGraphicFramePr>
        <xdr:cNvPr id="15" name="Chart 14">
          <a:extLst>
            <a:ext uri="{FF2B5EF4-FFF2-40B4-BE49-F238E27FC236}">
              <a16:creationId xmlns:a16="http://schemas.microsoft.com/office/drawing/2014/main" id="{B1489278-A94B-44E6-82B0-6CE021FD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252115</xdr:colOff>
      <xdr:row>8</xdr:row>
      <xdr:rowOff>8092</xdr:rowOff>
    </xdr:from>
    <xdr:to>
      <xdr:col>12</xdr:col>
      <xdr:colOff>420958</xdr:colOff>
      <xdr:row>19</xdr:row>
      <xdr:rowOff>128575</xdr:rowOff>
    </xdr:to>
    <xdr:graphicFrame macro="">
      <xdr:nvGraphicFramePr>
        <xdr:cNvPr id="5" name="Chart 4">
          <a:extLst>
            <a:ext uri="{FF2B5EF4-FFF2-40B4-BE49-F238E27FC236}">
              <a16:creationId xmlns:a16="http://schemas.microsoft.com/office/drawing/2014/main" id="{933DBEF2-5A11-4BDD-8A1E-A7185FC6F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275826</xdr:colOff>
      <xdr:row>10</xdr:row>
      <xdr:rowOff>179830</xdr:rowOff>
    </xdr:from>
    <xdr:to>
      <xdr:col>2</xdr:col>
      <xdr:colOff>563726</xdr:colOff>
      <xdr:row>17</xdr:row>
      <xdr:rowOff>56856</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B8010C26-FEE8-0681-BA40-6B516A8E23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75826" y="2088143"/>
              <a:ext cx="1560109" cy="121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247702</xdr:colOff>
      <xdr:row>1</xdr:row>
      <xdr:rowOff>33944</xdr:rowOff>
    </xdr:from>
    <xdr:ext cx="1623393" cy="1594863"/>
    <xdr:sp macro="" textlink="">
      <xdr:nvSpPr>
        <xdr:cNvPr id="21" name="Rectangle 20">
          <a:extLst>
            <a:ext uri="{FF2B5EF4-FFF2-40B4-BE49-F238E27FC236}">
              <a16:creationId xmlns:a16="http://schemas.microsoft.com/office/drawing/2014/main" id="{95050AD3-90D2-8C3C-E82B-90E9B671B312}"/>
            </a:ext>
          </a:extLst>
        </xdr:cNvPr>
        <xdr:cNvSpPr/>
      </xdr:nvSpPr>
      <xdr:spPr>
        <a:xfrm>
          <a:off x="247702" y="224775"/>
          <a:ext cx="1623393" cy="1594863"/>
        </a:xfrm>
        <a:prstGeom prst="rect">
          <a:avLst/>
        </a:prstGeom>
        <a:noFill/>
        <a:ln>
          <a:noFill/>
        </a:ln>
      </xdr:spPr>
      <xdr:txBody>
        <a:bodyPr wrap="none" lIns="91440" tIns="45720" rIns="91440" bIns="45720" anchor="ctr">
          <a:noAutofit/>
        </a:bodyPr>
        <a:lstStyle/>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Energy</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Consumption</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Dashboard</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(Cost)</a:t>
          </a:r>
        </a:p>
      </xdr:txBody>
    </xdr:sp>
    <xdr:clientData/>
  </xdr:oneCellAnchor>
  <xdr:twoCellAnchor>
    <xdr:from>
      <xdr:col>0</xdr:col>
      <xdr:colOff>282561</xdr:colOff>
      <xdr:row>28</xdr:row>
      <xdr:rowOff>48502</xdr:rowOff>
    </xdr:from>
    <xdr:to>
      <xdr:col>2</xdr:col>
      <xdr:colOff>568406</xdr:colOff>
      <xdr:row>30</xdr:row>
      <xdr:rowOff>175136</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BC8BE34A-36EF-5E24-71AE-709106DA7C5B}"/>
            </a:ext>
          </a:extLst>
        </xdr:cNvPr>
        <xdr:cNvSpPr/>
      </xdr:nvSpPr>
      <xdr:spPr>
        <a:xfrm>
          <a:off x="282561" y="5391779"/>
          <a:ext cx="1558054" cy="508296"/>
        </a:xfrm>
        <a:prstGeom prst="roundRect">
          <a:avLst>
            <a:gd name="adj" fmla="val 50000"/>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6">
                  <a:lumMod val="75000"/>
                </a:schemeClr>
              </a:solidFill>
            </a:rPr>
            <a:t>Consumption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1087962" backgroundQuery="1" createdVersion="8" refreshedVersion="8" minRefreshableVersion="3" recordCount="0" supportSubquery="1" supportAdvancedDrill="1" xr:uid="{9666576F-E571-4BCC-BD1E-70A10534C505}">
  <cacheSource type="external" connectionId="4"/>
  <cacheFields count="3">
    <cacheField name="[Building Master].[Building].[Building]" caption="Building" numFmtId="0" level="1">
      <sharedItems count="9">
        <s v="B1004"/>
        <s v="B1005"/>
        <s v="B1006"/>
        <s v="B1007"/>
        <s v="B1010"/>
        <s v="B1001" u="1"/>
        <s v="B1003" u="1"/>
        <s v="B1008" u="1"/>
        <s v="B1000" u="1"/>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Key]" caption="Key" attribute="1" defaultMemberUniqueName="[Energy Consumptions].[Key].[All]" allUniqueName="[Energy Consumptions].[Key].[All]" dimensionUniqueName="[Energy Consumptions]" displayFolder="" count="2"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1550924" backgroundQuery="1" createdVersion="8" refreshedVersion="8" minRefreshableVersion="3" recordCount="0" supportSubquery="1" supportAdvancedDrill="1" xr:uid="{8051672D-B34C-4A43-988D-D3777833C42B}">
  <cacheSource type="external" connectionId="4"/>
  <cacheFields count="4">
    <cacheField name="[Measures].[Total Cost]" caption="Total Cost" numFmtId="0" hierarchy="20" level="32767"/>
    <cacheField name="[Measures].[Median Cost]" caption="Median Cost" numFmtId="0" hierarchy="17" level="32767"/>
    <cacheField name="[Measures].[Number of Buildings]" caption="Number of Buildings" numFmtId="0" hierarchy="18"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oneField="1">
      <fieldsUsage count="1">
        <fieldUsage x="1"/>
      </fieldsUsage>
    </cacheHierarchy>
    <cacheHierarchy uniqueName="[Measures].[Number of Buildings]" caption="Number of Buildings" measure="1" displayFolder="" measureGroup="Building Master" count="0" oneField="1">
      <fieldsUsage count="1">
        <fieldUsage x="2"/>
      </fieldsUsage>
    </cacheHierarchy>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166667" backgroundQuery="1" createdVersion="8" refreshedVersion="8" minRefreshableVersion="3" recordCount="0" supportSubquery="1" supportAdvancedDrill="1" xr:uid="{58279D61-2D1B-4D71-AD84-25FCF291F020}">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1782409" backgroundQuery="1" createdVersion="8" refreshedVersion="8" minRefreshableVersion="3" recordCount="0" supportSubquery="1" supportAdvancedDrill="1" xr:uid="{C734A877-0CE4-4484-9C14-BE144117CFC9}">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2013886" backgroundQuery="1" createdVersion="8" refreshedVersion="8" minRefreshableVersion="3" recordCount="0" supportSubquery="1" supportAdvancedDrill="1" xr:uid="{B7A9A461-B305-4493-99E1-002F0588C2A8}">
  <cacheSource type="external" connectionId="4"/>
  <cacheFields count="3">
    <cacheField name="[Building Master].[City].[City]" caption="City" numFmtId="0" hierarchy="1" level="1">
      <sharedItems count="5">
        <s v="Chicago"/>
        <s v="Houston"/>
        <s v="Los Angeles"/>
        <s v="New York"/>
        <s v="Phoenix"/>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2476855" backgroundQuery="1" createdVersion="8" refreshedVersion="8" minRefreshableVersion="3" recordCount="0" supportSubquery="1" supportAdvancedDrill="1" xr:uid="{723264FE-FAB0-489F-8C7E-C38356D20DF5}">
  <cacheSource type="external" connectionId="4"/>
  <cacheFields count="6">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Energy Consumptions].[Date (Month)].[Date (Month)]" caption="Date (Month)" numFmtId="0" hierarchy="9" level="1">
      <sharedItems count="12">
        <s v="Jan"/>
        <s v="Feb"/>
        <s v="Mar"/>
        <s v="Apr"/>
        <s v="May"/>
        <s v="Jun"/>
        <s v="Jul"/>
        <s v="Aug"/>
        <s v="Sep"/>
        <s v="Oct"/>
        <s v="Nov"/>
        <s v="Dec"/>
      </sharedItems>
    </cacheField>
    <cacheField name="[Energy Consumptions].[Date (Quarter)].[Date (Quarter)]" caption="Date (Quarter)" numFmtId="0" hierarchy="8" level="1">
      <sharedItems count="4">
        <s v="Qtr1"/>
        <s v="Qtr2"/>
        <s v="Qtr3"/>
        <s v="Qtr4"/>
      </sharedItems>
    </cacheField>
    <cacheField name="[Energy Consumptions].[Date (Year)].[Date (Year)]" caption="Date (Year)" numFmtId="0" hierarchy="7" level="1">
      <sharedItems count="1">
        <s v="2016"/>
      </sharedItems>
    </cacheField>
    <cacheField name="[Measures].[Median Cost]" caption="Median Cost" numFmtId="0" hierarchy="17"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oneField="1">
      <fieldsUsage count="1">
        <fieldUsage x="4"/>
      </fieldsUsage>
    </cacheHierarchy>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2939817" backgroundQuery="1" createdVersion="8" refreshedVersion="8" minRefreshableVersion="3" recordCount="0" supportSubquery="1" supportAdvancedDrill="1" xr:uid="{7817B0D5-4E07-481F-8CD9-75E540351599}">
  <cacheSource type="external" connectionId="4"/>
  <cacheFields count="6">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Energy Consumptions].[Date (Month)].[Date (Month)]" caption="Date (Month)" numFmtId="0" hierarchy="9" level="1">
      <sharedItems count="12">
        <s v="Jan"/>
        <s v="Feb"/>
        <s v="Mar"/>
        <s v="Apr"/>
        <s v="May"/>
        <s v="Jun"/>
        <s v="Jul"/>
        <s v="Aug"/>
        <s v="Sep"/>
        <s v="Oct"/>
        <s v="Nov"/>
        <s v="Dec"/>
      </sharedItems>
    </cacheField>
    <cacheField name="[Energy Consumptions].[Date (Quarter)].[Date (Quarter)]" caption="Date (Quarter)" numFmtId="0" hierarchy="8" level="1">
      <sharedItems count="4">
        <s v="Qtr1"/>
        <s v="Qtr2"/>
        <s v="Qtr3"/>
        <s v="Qtr4"/>
      </sharedItems>
    </cacheField>
    <cacheField name="[Energy Consumptions].[Date (Year)].[Date (Year)]" caption="Date (Year)" numFmtId="0" hierarchy="7" level="1">
      <sharedItems count="1">
        <s v="2016"/>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4"/>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3402779" backgroundQuery="1" createdVersion="8" refreshedVersion="8" minRefreshableVersion="3" recordCount="0" supportSubquery="1" supportAdvancedDrill="1" xr:uid="{765547FC-AA0D-4B7A-A030-A04C158149BD}">
  <cacheSource type="external" connectionId="4"/>
  <cacheFields count="3">
    <cacheField name="[Rates].[Energy Type].[Energy Type]" caption="Energy Type" numFmtId="0" hierarchy="11" level="1">
      <sharedItems count="3">
        <s v="Electricity"/>
        <s v="Gas"/>
        <s v="Water"/>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2.969793402779" backgroundQuery="1" createdVersion="8" refreshedVersion="8" minRefreshableVersion="3" recordCount="0" supportSubquery="1" supportAdvancedDrill="1" xr:uid="{4178F5DA-4E12-4FDF-BCA3-F8B780A22833}">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49.881333217592" backgroundQuery="1" createdVersion="3" refreshedVersion="8" minRefreshableVersion="3" recordCount="0" supportSubquery="1" supportAdvancedDrill="1" xr:uid="{2FA5F320-2EC1-493A-8BF4-F727F7B101BE}">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extLst>
    <ext xmlns:x14="http://schemas.microsoft.com/office/spreadsheetml/2009/9/main" uri="{725AE2AE-9491-48be-B2B4-4EB974FC3084}">
      <x14:pivotCacheDefinition slicerData="1" pivotCacheId="1279843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B06ED-9833-4DAD-A6A1-C26E4BF445A5}" name="PivotTable9"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Water]" cap="Water"/>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D92E96-8694-4A8B-823F-0C527F5E0B37}" name="PivotTable4" cacheId="159" applyNumberFormats="0" applyBorderFormats="0" applyFontFormats="0" applyPatternFormats="0" applyAlignmentFormats="0" applyWidthHeightFormats="1" dataCaption="Values" tag="9657e28b-1aa6-4e0e-8e32-7d8e60e3db82" updatedVersion="8" minRefreshableVersion="3" useAutoFormatting="1" itemPrintTitles="1" createdVersion="8" indent="0" outline="1" outlineData="1" multipleFieldFilters="0">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Cost"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821DC5-FE76-49C0-9CC0-7F3020A88C64}" name="PivotTable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W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Electricity]" cap="Electricity"/>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81C9A-88E5-454B-BCF7-B8C3F397B4CE}" name="PivotTable5" cacheId="162" applyNumberFormats="0" applyBorderFormats="0" applyFontFormats="0" applyPatternFormats="0" applyAlignmentFormats="0" applyWidthHeightFormats="1" dataCaption="Values" tag="14f2e67c-98cb-49f7-a827-a021491637d3" updatedVersion="8" minRefreshableVersion="3" useAutoFormatting="1" subtotalHiddenItems="1" itemPrintTitles="1" createdVersion="8" indent="0" outline="1" outlineData="1" multipleFieldFilters="0" chartFormat="9">
  <location ref="G1:H19" firstHeaderRow="1" firstDataRow="1" firstDataCol="1"/>
  <pivotFields count="6">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4">
    <field x="3"/>
    <field x="2"/>
    <field x="1"/>
    <field x="0"/>
  </rowFields>
  <rowItems count="18">
    <i>
      <x/>
    </i>
    <i r="1">
      <x/>
    </i>
    <i r="2">
      <x/>
    </i>
    <i r="2">
      <x v="1"/>
    </i>
    <i r="2">
      <x v="2"/>
    </i>
    <i r="1">
      <x v="1"/>
    </i>
    <i r="2">
      <x v="3"/>
    </i>
    <i r="2">
      <x v="4"/>
    </i>
    <i r="2">
      <x v="5"/>
    </i>
    <i r="1">
      <x v="2"/>
    </i>
    <i r="2">
      <x v="6"/>
    </i>
    <i r="2">
      <x v="7"/>
    </i>
    <i r="2">
      <x v="8"/>
    </i>
    <i r="1">
      <x v="3"/>
    </i>
    <i r="2">
      <x v="9"/>
    </i>
    <i r="2">
      <x v="10"/>
    </i>
    <i r="2">
      <x v="11"/>
    </i>
    <i t="grand">
      <x/>
    </i>
  </rowItems>
  <colItems count="1">
    <i/>
  </colItems>
  <dataFields count="1">
    <dataField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7FEA95-450E-4F16-8728-25B5E43332A3}" name="PivotTable8" cacheId="147" applyNumberFormats="0" applyBorderFormats="0" applyFontFormats="0" applyPatternFormats="0" applyAlignmentFormats="0" applyWidthHeightFormats="1" dataCaption="Values" tag="3bd45335-ba0b-4e3f-8bdd-fbeb5284a035" updatedVersion="8" minRefreshableVersion="3" useAutoFormatting="1" itemPrintTitles="1" createdVersion="8" indent="0" outline="1" outlineData="1" multipleFieldFilters="0" chartFormat="9">
  <location ref="P1:Q7" firstHeaderRow="1" firstDataRow="1" firstDataCol="1"/>
  <pivotFields count="3">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1"/>
    </i>
    <i>
      <x/>
    </i>
    <i>
      <x v="3"/>
    </i>
    <i t="grand">
      <x/>
    </i>
  </rowItems>
  <colItems count="1">
    <i/>
  </colItems>
  <dataFields count="1">
    <dataField name="Total Cost"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7"/>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8"/>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A34E66-65BA-46DD-9BFF-24BCE2F257E3}" name="PivotTable1"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V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Cost" fld="0" subtotal="count" baseField="0" baseItem="0"/>
    <dataField fld="1" subtotal="count" baseField="0" baseItem="0"/>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492F7-BE8F-488D-A813-2CAF15DD0CE5}" name="PivotTable3"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Y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Gas]" cap="Gas"/>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6F0D4E-33B6-41BC-8826-BF4151F1B3C4}" name="PivotTable7" cacheId="168" applyNumberFormats="0" applyBorderFormats="0" applyFontFormats="0" applyPatternFormats="0" applyAlignmentFormats="0" applyWidthHeightFormats="1" dataCaption="Values" tag="430b233b-2716-45e6-bd3a-b434140b320d" updatedVersion="8" minRefreshableVersion="3" useAutoFormatting="1" itemPrintTitles="1" createdVersion="8" indent="0" outline="1" outlineData="1" multipleFieldFilters="0" chartFormat="8">
  <location ref="M1:N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Cost"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EF3117-3C55-423F-A0DE-6A758577F2D6}" name="PivotTable6" cacheId="165" applyNumberFormats="0" applyBorderFormats="0" applyFontFormats="0" applyPatternFormats="0" applyAlignmentFormats="0" applyWidthHeightFormats="1" dataCaption="Values" tag="4c8c768c-7ea5-46f9-b014-b2425f5caccc" updatedVersion="8" minRefreshableVersion="3" useAutoFormatting="1" subtotalHiddenItems="1" itemPrintTitles="1" createdVersion="8" indent="0" outline="1" outlineData="1" multipleFieldFilters="0" chartFormat="10">
  <location ref="J1:K19" firstHeaderRow="1" firstDataRow="1" firstDataCol="1"/>
  <pivotFields count="6">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4">
    <field x="3"/>
    <field x="2"/>
    <field x="1"/>
    <field x="0"/>
  </rowFields>
  <rowItems count="18">
    <i>
      <x/>
    </i>
    <i r="1">
      <x/>
    </i>
    <i r="2">
      <x/>
    </i>
    <i r="2">
      <x v="1"/>
    </i>
    <i r="2">
      <x v="2"/>
    </i>
    <i r="1">
      <x v="1"/>
    </i>
    <i r="2">
      <x v="3"/>
    </i>
    <i r="2">
      <x v="4"/>
    </i>
    <i r="2">
      <x v="5"/>
    </i>
    <i r="1">
      <x v="2"/>
    </i>
    <i r="2">
      <x v="6"/>
    </i>
    <i r="2">
      <x v="7"/>
    </i>
    <i r="2">
      <x v="8"/>
    </i>
    <i r="1">
      <x v="3"/>
    </i>
    <i r="2">
      <x v="9"/>
    </i>
    <i r="2">
      <x v="10"/>
    </i>
    <i r="2">
      <x v="11"/>
    </i>
    <i t="grand">
      <x/>
    </i>
  </rowItems>
  <colItems count="1">
    <i/>
  </colItems>
  <dataFields count="1">
    <dataField name="Total Cost" fld="4" subtotal="count" showDataAs="percentDiff" baseField="1" baseItem="1048828"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ew%20York%20(state)" TargetMode="External"/><Relationship Id="rId3" Type="http://schemas.openxmlformats.org/officeDocument/2006/relationships/hyperlink" Target="https://www.bing.com/th?id=OSK.64a722b3d40292398291610dc8c47d2c&amp;qlt=95" TargetMode="External"/><Relationship Id="rId7" Type="http://schemas.openxmlformats.org/officeDocument/2006/relationships/hyperlink" Target="https://www.bing.com/th?id=OSK.cba7f275842a20f49b98d704e1366fd5&amp;qlt=95" TargetMode="External"/><Relationship Id="rId12" Type="http://schemas.openxmlformats.org/officeDocument/2006/relationships/hyperlink" Target="https://www.bing.com/images/search?form=xlimg&amp;q=Phoenix,%20Arizona" TargetMode="External"/><Relationship Id="rId2" Type="http://schemas.openxmlformats.org/officeDocument/2006/relationships/hyperlink" Target="https://www.bing.com/images/search?form=xlimg&amp;q=Illinois" TargetMode="External"/><Relationship Id="rId1" Type="http://schemas.openxmlformats.org/officeDocument/2006/relationships/hyperlink" Target="https://www.bing.com/th?id=OSK.25a374587d56b5b92ef759ecb4ca433e&amp;qlt=95" TargetMode="External"/><Relationship Id="rId6" Type="http://schemas.openxmlformats.org/officeDocument/2006/relationships/hyperlink" Target="https://www.bing.com/images/search?form=xlimg&amp;q=California" TargetMode="External"/><Relationship Id="rId11" Type="http://schemas.openxmlformats.org/officeDocument/2006/relationships/hyperlink" Target="https://www.bing.com/th?id=OSK.9e8d8b39f5e82ab79a68413dbad9a090&amp;qlt=95" TargetMode="External"/><Relationship Id="rId5" Type="http://schemas.openxmlformats.org/officeDocument/2006/relationships/hyperlink" Target="https://www.bing.com/th?id=OSK.00be164b931c0a9427c0a2ebdae3e140&amp;qlt=95" TargetMode="External"/><Relationship Id="rId10" Type="http://schemas.openxmlformats.org/officeDocument/2006/relationships/hyperlink" Target="https://www.bing.com/images/search?form=xlimg&amp;q=Arizona" TargetMode="External"/><Relationship Id="rId4" Type="http://schemas.openxmlformats.org/officeDocument/2006/relationships/hyperlink" Target="https://www.bing.com/images/search?form=xlimg&amp;q=Texas" TargetMode="External"/><Relationship Id="rId9" Type="http://schemas.openxmlformats.org/officeDocument/2006/relationships/hyperlink" Target="https://www.bing.com/th?id=OSK.0641697055dc04237b54e70519cef566&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Srd>
</file>

<file path=xl/richData/rdarray.xml><?xml version="1.0" encoding="utf-8"?>
<arrayData xmlns="http://schemas.microsoft.com/office/spreadsheetml/2017/richdata2" count="11">
  <a r="4">
    <v t="r">9</v>
    <v t="r">10</v>
    <v t="r">11</v>
    <v t="r">12</v>
  </a>
  <a r="1">
    <v t="s">English</v>
  </a>
  <a r="1">
    <v t="s">Central Time Zone</v>
  </a>
  <a r="4">
    <v t="r">47</v>
    <v t="r">48</v>
    <v t="r">49</v>
    <v t="r">50</v>
  </a>
  <a r="4">
    <v t="r">81</v>
    <v t="r">82</v>
    <v t="r">83</v>
    <v t="r">84</v>
  </a>
  <a r="1">
    <v t="s">Pacific Time Zone</v>
  </a>
  <a r="4">
    <v t="r">117</v>
    <v t="r">118</v>
    <v t="r">119</v>
    <v t="r">120</v>
  </a>
  <a r="1">
    <v t="s">Eastern Time Zone</v>
  </a>
  <a r="4">
    <v t="r">149</v>
    <v t="r">150</v>
    <v t="r">151</v>
    <v t="r">152</v>
  </a>
  <a r="1">
    <v t="s">Mountain Time Zone</v>
  </a>
  <a r="1">
    <v t="r">182</v>
  </a>
</arrayData>
</file>

<file path=xl/richData/rdrichvalue.xml><?xml version="1.0" encoding="utf-8"?>
<rvData xmlns="http://schemas.microsoft.com/office/spreadsheetml/2017/richdata" count="188">
  <rv s="0">
    <v>536870912</v>
    <v>Illinois</v>
    <v>4131acb8-628a-4241-8920-ca79eab9dade</v>
    <v>en-US</v>
    <v>Map</v>
  </rv>
  <rv s="1">
    <fb>149998</fb>
    <v>11</v>
  </rv>
  <rv s="1">
    <fb>22603</fb>
    <v>11</v>
  </rv>
  <rv s="0">
    <v>536870912</v>
    <v>Springfield, Illinois</v>
    <v>dc562bf8-bf83-4505-8a1b-0bdb5bd605f8</v>
    <v>en-US</v>
    <v>Map</v>
  </rv>
  <rv s="0">
    <v>536870912</v>
    <v>United States</v>
    <v>5232ed96-85b1-2edb-12c6-63e6c597a1de</v>
    <v>en-US</v>
    <v>Map</v>
  </rv>
  <rv s="1">
    <fb>4786388</fb>
    <v>11</v>
  </rv>
  <rv s="1">
    <fb>5326970</fb>
    <v>11</v>
  </rv>
  <rv s="2">
    <v>0</v>
    <v>9</v>
    <v>0</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0</v>
  </rv>
  <rv s="4">
    <v>https://www.bing.com/search?q=illinois&amp;form=skydnc</v>
    <v>Learn more on Bing</v>
  </rv>
  <rv s="1">
    <fb>907</fb>
    <v>12</v>
  </rv>
  <rv s="1">
    <fb>57574</fb>
    <v>12</v>
  </rv>
  <rv s="1">
    <fb>173800</fb>
    <v>12</v>
  </rv>
  <rv s="3">
    <v>1</v>
  </rv>
  <rv s="1">
    <fb>2.63</fb>
    <v>13</v>
  </rv>
  <rv s="1">
    <fb>12710158</fb>
    <v>11</v>
  </rv>
  <rv s="1">
    <fb>-2E-3</fb>
    <v>14</v>
  </rv>
  <rv s="1">
    <fb>0.14199999999999999</fb>
    <v>14</v>
  </rv>
  <rv s="1">
    <fb>6.0000000000000001E-3</fb>
    <v>15</v>
  </rv>
  <rv s="1">
    <fb>5.5E-2</fb>
    <v>14</v>
  </rv>
  <rv s="1">
    <fb>0.32299999999999995</fb>
    <v>14</v>
  </rv>
  <rv s="1">
    <fb>0.14699999999999999</fb>
    <v>14</v>
  </rv>
  <rv s="1">
    <fb>0.14000000000000001</fb>
    <v>14</v>
  </rv>
  <rv s="1">
    <fb>0.879</fb>
    <v>14</v>
  </rv>
  <rv s="1">
    <fb>0.16899999999999998</fb>
    <v>14</v>
  </rv>
  <rv s="1">
    <fb>0.65599999999999992</fb>
    <v>14</v>
  </rv>
  <rv s="1">
    <fb>1E-3</fb>
    <v>14</v>
  </rv>
  <rv s="1">
    <fb>7.0999999999999994E-2</fb>
    <v>14</v>
  </rv>
  <rv s="1">
    <fb>1.9E-2</fb>
    <v>14</v>
  </rv>
  <rv s="1">
    <fb>0.23</fb>
    <v>14</v>
  </rv>
  <rv s="1">
    <fb>6.0999999999999999E-2</fb>
    <v>14</v>
  </rv>
  <rv s="1">
    <fb>0.77300000000000002</fb>
    <v>14</v>
  </rv>
  <rv s="3">
    <v>2</v>
  </rv>
  <rv s="5">
    <v>#VALUE!</v>
    <v>en-US</v>
    <v>4131acb8-628a-4241-8920-ca79eab9dade</v>
    <v>536870912</v>
    <v>1</v>
    <v>4</v>
    <v>5</v>
    <v>Illinois</v>
    <v>7</v>
    <v>8</v>
    <v>Map</v>
    <v>9</v>
    <v>10</v>
    <v>US-IL</v>
    <v>1</v>
    <v>2</v>
    <v>3</v>
    <v>4</v>
    <v>Illinois is a state in the Midwestern region of the United States. It borders on Lake Michigan to its northeast, the Mississippi River to its west, and the Wabash and Ohio rivers to its south. Of the fifty U.S. states, Illinois has the ...</v>
    <v>5</v>
    <v>6</v>
    <v>7</v>
    <v>8</v>
    <v>13</v>
    <v>14</v>
    <v>15</v>
    <v>16</v>
    <v>17</v>
    <v>Illinois</v>
    <v>18</v>
    <v>19</v>
    <v>20</v>
    <v>21</v>
    <v>22</v>
    <v>23</v>
    <v>24</v>
    <v>25</v>
    <v>26</v>
    <v>27</v>
    <v>28</v>
    <v>29</v>
    <v>30</v>
    <v>31</v>
    <v>32</v>
    <v>33</v>
    <v>34</v>
    <v>35</v>
    <v>36</v>
    <v>37</v>
    <v>Illinois</v>
    <v>mdp/vdpid/14808</v>
  </rv>
  <rv s="0">
    <v>536870912</v>
    <v>Texas</v>
    <v>00a23ccd-3344-461c-8b9f-c2bb55be5815</v>
    <v>en-US</v>
    <v>Map</v>
  </rv>
  <rv s="1">
    <fb>696241</fb>
    <v>11</v>
  </rv>
  <rv s="1">
    <fb>165853</fb>
    <v>11</v>
  </rv>
  <rv s="0">
    <v>536870912</v>
    <v>Austin, Texas</v>
    <v>afd7d7f6-01a2-401c-bb4d-59f7e34d585c</v>
    <v>en-US</v>
    <v>Map</v>
  </rv>
  <rv s="1">
    <fb>9149196</fb>
    <v>11</v>
  </rv>
  <rv s="1">
    <fb>10753629</fb>
    <v>11</v>
  </rv>
  <rv s="2">
    <v>1</v>
    <v>9</v>
    <v>16</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3</v>
  </rv>
  <rv s="4">
    <v>https://www.bing.com/search?q=texas&amp;form=skydnc</v>
    <v>Learn more on Bing</v>
  </rv>
  <rv s="1">
    <fb>882</fb>
    <v>12</v>
  </rv>
  <rv s="1">
    <fb>53207</fb>
    <v>12</v>
  </rv>
  <rv s="1">
    <fb>136000</fb>
    <v>12</v>
  </rv>
  <rv s="1">
    <fb>2.84</fb>
    <v>13</v>
  </rv>
  <rv s="1">
    <fb>31290831</fb>
    <v>11</v>
  </rv>
  <rv s="1">
    <fb>0.10800000000000001</fb>
    <v>14</v>
  </rv>
  <rv s="1">
    <fb>0.11699999999999999</fb>
    <v>14</v>
  </rv>
  <rv s="1">
    <fb>0.01</fb>
    <v>15</v>
  </rv>
  <rv s="1">
    <fb>4.7E-2</fb>
    <v>14</v>
  </rv>
  <rv s="1">
    <fb>0.27600000000000002</fb>
    <v>14</v>
  </rv>
  <rv s="1">
    <fb>0.125</fb>
    <v>14</v>
  </rv>
  <rv s="1">
    <fb>0.16600000000000001</fb>
    <v>14</v>
  </rv>
  <rv s="1">
    <fb>0.81900000000000006</fb>
    <v>14</v>
  </rv>
  <rv s="1">
    <fb>0.38799999999999996</fb>
    <v>14</v>
  </rv>
  <rv s="1">
    <fb>0.64300000000000002</fb>
    <v>14</v>
  </rv>
  <rv s="1">
    <fb>8.1000000000000003E-2</fb>
    <v>14</v>
  </rv>
  <rv s="1">
    <fb>0.26300000000000001</fb>
    <v>14</v>
  </rv>
  <rv s="1">
    <fb>7.2000000000000008E-2</fb>
    <v>14</v>
  </rv>
  <rv s="1">
    <fb>0.79700000000000004</fb>
    <v>14</v>
  </rv>
  <rv s="6">
    <v>#VALUE!</v>
    <v>en-US</v>
    <v>00a23ccd-3344-461c-8b9f-c2bb55be5815</v>
    <v>536870912</v>
    <v>1</v>
    <v>19</v>
    <v>20</v>
    <v>Texas</v>
    <v>7</v>
    <v>8</v>
    <v>Map</v>
    <v>9</v>
    <v>10</v>
    <v>US-TX</v>
    <v>40</v>
    <v>41</v>
    <v>42</v>
    <v>4</v>
    <v>Texas is the most populous state in the South Central region of the United States. It borders Louisiana to the east, Arkansas to the northeast, Oklahoma to the north, New Mexico to the west, and has an international border with the Mexican ...</v>
    <v>43</v>
    <v>44</v>
    <v>45</v>
    <v>46</v>
    <v>51</v>
    <v>52</v>
    <v>53</v>
    <v>54</v>
    <v>55</v>
    <v>Texas</v>
    <v>56</v>
    <v>57</v>
    <v>58</v>
    <v>59</v>
    <v>60</v>
    <v>61</v>
    <v>62</v>
    <v>63</v>
    <v>64</v>
    <v>65</v>
    <v>66</v>
    <v>67</v>
    <v>31</v>
    <v>68</v>
    <v>33</v>
    <v>69</v>
    <v>70</v>
    <v>71</v>
    <v>37</v>
    <v>Texas</v>
    <v>mdp/vdpid/33145</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2</v>
    <v>9</v>
    <v>21</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4</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0.314</fb>
    <v>14</v>
  </rv>
  <rv s="1">
    <fb>6.5000000000000002E-2</fb>
    <v>14</v>
  </rv>
  <rv s="1">
    <fb>0.27</fb>
    <v>14</v>
  </rv>
  <rv s="1">
    <fb>0.81799999999999995</fb>
    <v>14</v>
  </rv>
  <rv s="1">
    <fb>0.63100000000000001</fb>
    <v>14</v>
  </rv>
  <rv s="1">
    <fb>5.0000000000000001E-3</fb>
    <v>14</v>
  </rv>
  <rv s="1">
    <fb>6.8000000000000005E-2</fb>
    <v>14</v>
  </rv>
  <rv s="1">
    <fb>3.7999999999999999E-2</fb>
    <v>14</v>
  </rv>
  <rv s="1">
    <fb>0.23300000000000001</fb>
    <v>14</v>
  </rv>
  <rv s="1">
    <fb>6.4000000000000001E-2</fb>
    <v>14</v>
  </rv>
  <rv s="1">
    <fb>0.72900000000000009</fb>
    <v>14</v>
  </rv>
  <rv s="3">
    <v>5</v>
  </rv>
  <rv s="5">
    <v>#VALUE!</v>
    <v>en-US</v>
    <v>3009d91d-d582-4c34-85ba-772ba09e5be1</v>
    <v>536870912</v>
    <v>1</v>
    <v>24</v>
    <v>5</v>
    <v>California</v>
    <v>7</v>
    <v>8</v>
    <v>Map</v>
    <v>9</v>
    <v>10</v>
    <v>US-CA</v>
    <v>74</v>
    <v>75</v>
    <v>76</v>
    <v>4</v>
    <v>California is a state in the Western region of the United States that lies on the Pacific Coast. It borders Oregon to the north, Nevada and Arizona to the east, and shares an international border with the Mexican state of Baja California to the ...</v>
    <v>77</v>
    <v>78</v>
    <v>79</v>
    <v>80</v>
    <v>85</v>
    <v>86</v>
    <v>87</v>
    <v>88</v>
    <v>89</v>
    <v>California</v>
    <v>18</v>
    <v>90</v>
    <v>91</v>
    <v>92</v>
    <v>93</v>
    <v>94</v>
    <v>26</v>
    <v>95</v>
    <v>96</v>
    <v>97</v>
    <v>98</v>
    <v>66</v>
    <v>99</v>
    <v>100</v>
    <v>101</v>
    <v>102</v>
    <v>103</v>
    <v>104</v>
    <v>105</v>
    <v>106</v>
    <v>California</v>
    <v>mdp/vdpid/5599</v>
  </rv>
  <rv s="0">
    <v>536870912</v>
    <v>New York</v>
    <v>caeb7b9a-f5d7-4686-8fb5-cf7628296b13</v>
    <v>en-US</v>
    <v>Map</v>
  </rv>
  <rv s="1">
    <fb>141300</fb>
    <v>11</v>
  </rv>
  <rv s="1">
    <fb>33711</fb>
    <v>11</v>
  </rv>
  <rv s="0">
    <v>536870912</v>
    <v>Albany</v>
    <v>62ca8245-972e-448d-af38-345d4a958798</v>
    <v>en-US</v>
    <v>Map</v>
  </rv>
  <rv s="0">
    <v>536870912</v>
    <v>United States of America</v>
    <v>5232ed96-85b1-2edb-12c6-63e6c597a1de</v>
    <v>en-US</v>
    <v>Map</v>
  </rv>
  <rv s="1">
    <fb>7262279</fb>
    <v>11</v>
  </rv>
  <rv s="1">
    <fb>8231687</fb>
    <v>11</v>
  </rv>
  <rv s="2">
    <v>3</v>
    <v>9</v>
    <v>25</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6</v>
  </rv>
  <rv s="4">
    <v>https://www.bing.com/search?q=new+york+state&amp;form=skydnc</v>
    <v>Learn more on Bing</v>
  </rv>
  <rv s="1">
    <fb>1132</fb>
    <v>12</v>
  </rv>
  <rv s="1">
    <fb>59269</fb>
    <v>12</v>
  </rv>
  <rv s="1">
    <fb>283400</fb>
    <v>12</v>
  </rv>
  <rv s="1">
    <fb>20201249</fb>
    <v>11</v>
  </rv>
  <rv s="1">
    <fb>0.15</fb>
    <v>14</v>
  </rv>
  <rv s="1">
    <fb>8.8000000000000009E-2</fb>
    <v>14</v>
  </rv>
  <rv s="1">
    <fb>0.34200000000000003</fb>
    <v>14</v>
  </rv>
  <rv s="1">
    <fb>0.17600000000000002</fb>
    <v>14</v>
  </rv>
  <rv s="1">
    <fb>0.22500000000000001</fb>
    <v>14</v>
  </rv>
  <rv s="1">
    <fb>0.85599999999999998</fb>
    <v>14</v>
  </rv>
  <rv s="1">
    <fb>0.188</fb>
    <v>14</v>
  </rv>
  <rv s="1">
    <fb>0.63300000000000001</fb>
    <v>14</v>
  </rv>
  <rv s="1">
    <fb>7.400000000000001E-2</fb>
    <v>14</v>
  </rv>
  <rv s="1">
    <fb>2.4E-2</fb>
    <v>14</v>
  </rv>
  <rv s="1">
    <fb>0.21299999999999999</fb>
    <v>14</v>
  </rv>
  <rv s="1">
    <fb>0.06</fb>
    <v>14</v>
  </rv>
  <rv s="1">
    <fb>0.70099999999999996</fb>
    <v>14</v>
  </rv>
  <rv s="3">
    <v>7</v>
  </rv>
  <rv s="6">
    <v>#VALUE!</v>
    <v>en-US</v>
    <v>caeb7b9a-f5d7-4686-8fb5-cf7628296b13</v>
    <v>536870912</v>
    <v>1</v>
    <v>28</v>
    <v>20</v>
    <v>New York</v>
    <v>7</v>
    <v>8</v>
    <v>Map</v>
    <v>9</v>
    <v>29</v>
    <v>US-NY</v>
    <v>109</v>
    <v>110</v>
    <v>111</v>
    <v>112</v>
    <v>New York, sometimes called New York State, is a state in the Northeastern region of the United States. A Mid-Atlantic state, New York borders New England, and has an international border with Canada. With almost 19.6 million residents, it is the ...</v>
    <v>113</v>
    <v>114</v>
    <v>115</v>
    <v>116</v>
    <v>121</v>
    <v>122</v>
    <v>123</v>
    <v>124</v>
    <v>125</v>
    <v>New York</v>
    <v>19</v>
    <v>126</v>
    <v>33</v>
    <v>127</v>
    <v>60</v>
    <v>128</v>
    <v>129</v>
    <v>130</v>
    <v>131</v>
    <v>132</v>
    <v>133</v>
    <v>134</v>
    <v>31</v>
    <v>135</v>
    <v>136</v>
    <v>137</v>
    <v>138</v>
    <v>139</v>
    <v>140</v>
    <v>New York</v>
    <v>mdp/vdpid/23161</v>
  </rv>
  <rv s="0">
    <v>536870912</v>
    <v>Arizona</v>
    <v>bf973f46-5962-4997-a7ba-a05f1aa2a9f9</v>
    <v>en-US</v>
    <v>Map</v>
  </rv>
  <rv s="1">
    <fb>295234</fb>
    <v>11</v>
  </rv>
  <rv s="1">
    <fb>35578</fb>
    <v>11</v>
  </rv>
  <rv s="0">
    <v>536870912</v>
    <v>Phoenix, Arizona</v>
    <v>b06044c3-41e1-4e2a-bba7-27a29bba8ea9</v>
    <v>en-US</v>
    <v>Map</v>
  </rv>
  <rv s="1">
    <fb>2412212</fb>
    <v>11</v>
  </rv>
  <rv s="1">
    <fb>2961003</fb>
    <v>11</v>
  </rv>
  <rv s="2">
    <v>4</v>
    <v>9</v>
    <v>30</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8</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9</v>
  </rv>
  <rv s="5">
    <v>#VALUE!</v>
    <v>en-US</v>
    <v>bf973f46-5962-4997-a7ba-a05f1aa2a9f9</v>
    <v>536870912</v>
    <v>1</v>
    <v>33</v>
    <v>5</v>
    <v>Arizona</v>
    <v>7</v>
    <v>8</v>
    <v>Map</v>
    <v>9</v>
    <v>10</v>
    <v>US-AZ</v>
    <v>143</v>
    <v>144</v>
    <v>145</v>
    <v>4</v>
    <v>Arizona is a state in the Southwestern region of the United States, sharing the Four Corners region of the western United States with Colorado, New Mexico, and Utah. It also borders Nevada to the northwest and California to the west, and shares ...</v>
    <v>146</v>
    <v>147</v>
    <v>148</v>
    <v>145</v>
    <v>153</v>
    <v>154</v>
    <v>155</v>
    <v>156</v>
    <v>157</v>
    <v>Arizona</v>
    <v>18</v>
    <v>158</v>
    <v>159</v>
    <v>160</v>
    <v>161</v>
    <v>162</v>
    <v>163</v>
    <v>164</v>
    <v>165</v>
    <v>166</v>
    <v>167</v>
    <v>168</v>
    <v>169</v>
    <v>170</v>
    <v>171</v>
    <v>172</v>
    <v>173</v>
    <v>174</v>
    <v>175</v>
    <v>176</v>
    <v>Arizona</v>
    <v>mdp/vdpid/1945</v>
  </rv>
  <rv s="0">
    <v>536870912</v>
    <v>Maricopa County</v>
    <v>385e4056-0008-58a2-b460-55f838262318</v>
    <v>en-US</v>
    <v>Map</v>
  </rv>
  <rv s="1">
    <fb>1341.477468</fb>
    <v>11</v>
  </rv>
  <rv s="2">
    <v>5</v>
    <v>9</v>
    <v>34</v>
    <v>7</v>
    <v>0</v>
    <v>Image of Phoenix, Arizona</v>
  </rv>
  <rv s="1">
    <fb>33.448333333333302</fb>
    <v>38</v>
  </rv>
  <rv s="0">
    <v>805306368</v>
    <v>Kate Gallego (Mayor)</v>
    <v>e1eda65c-e97b-f7be-0eba-2d9b94ca006c</v>
    <v>en-US</v>
    <v>Generic</v>
  </rv>
  <rv s="3">
    <v>10</v>
  </rv>
  <rv s="4">
    <v>https://www.bing.com/search?q=phoenix+arizona&amp;form=skydnc</v>
    <v>Learn more on Bing</v>
  </rv>
  <rv s="1">
    <fb>-112.073888888889</fb>
    <v>38</v>
  </rv>
  <rv s="1">
    <fb>1608139</fb>
    <v>11</v>
  </rv>
  <rv s="7">
    <v>#VALUE!</v>
    <v>en-US</v>
    <v>b06044c3-41e1-4e2a-bba7-27a29bba8ea9</v>
    <v>536870912</v>
    <v>1</v>
    <v>35</v>
    <v>36</v>
    <v>Phoenix, Arizona</v>
    <v>7</v>
    <v>8</v>
    <v>Map</v>
    <v>9</v>
    <v>37</v>
    <v>142</v>
    <v>178</v>
    <v>179</v>
    <v>112</v>
    <v>Phoenix is the capital and most populous city of the U.S. state of Arizona, with 1,608,139 residents as of 2020. It is the fifth-most populous city in the United States and the most populous state capital in the country.</v>
    <v>180</v>
    <v>181</v>
    <v>183</v>
    <v>184</v>
    <v>185</v>
    <v>Phoenix, Arizona</v>
    <v>186</v>
    <v>176</v>
    <v>Phoenix, Arizona</v>
    <v>mdp/vdpid/5098089334867755012</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3">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39">
    <spb s="0">
      <v xml:space="preserve">Wikipedia	</v>
      <v xml:space="preserve">CC BY-SA 3.0	</v>
      <v xml:space="preserve">https://en.wikipedia.org/wiki/Illinois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16</v>
      <v>16</v>
      <v>1</v>
      <v>16</v>
      <v>16</v>
      <v>16</v>
      <v>17</v>
      <v>16</v>
      <v>1</v>
      <v>16</v>
      <v>1</v>
      <v>18</v>
      <v>16</v>
      <v>1</v>
      <v>1</v>
      <v>1</v>
      <v>1</v>
      <v>18</v>
      <v>1</v>
      <v>1</v>
      <v>1</v>
      <v>1</v>
      <v>1</v>
      <v>1</v>
      <v>1</v>
      <v>1</v>
      <v>1</v>
      <v>18</v>
      <v>1</v>
      <v>1</v>
      <v>1</v>
      <v>1</v>
    </spb>
    <spb s="2">
      <v>1</v>
      <v>Name</v>
      <v>LearnMoreOnLink</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21</v>
      <v>21</v>
      <v>1</v>
      <v>21</v>
      <v>21</v>
      <v>21</v>
      <v>22</v>
      <v>21</v>
      <v>1</v>
      <v>21</v>
      <v>1</v>
      <v>23</v>
      <v>21</v>
      <v>1</v>
      <v>1</v>
      <v>1</v>
      <v>1</v>
      <v>23</v>
      <v>1</v>
      <v>1</v>
      <v>1</v>
      <v>1</v>
      <v>1</v>
      <v>1</v>
      <v>1</v>
      <v>1</v>
      <v>1</v>
      <v>23</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25</v>
      <v>25</v>
      <v>1</v>
      <v>25</v>
      <v>25</v>
      <v>25</v>
      <v>26</v>
      <v>25</v>
      <v>1</v>
      <v>25</v>
      <v>1</v>
      <v>27</v>
      <v>25</v>
      <v>1</v>
      <v>1</v>
      <v>1</v>
      <v>1</v>
      <v>27</v>
      <v>1</v>
      <v>1</v>
      <v>1</v>
      <v>1</v>
      <v>1</v>
      <v>1</v>
      <v>1</v>
      <v>1</v>
      <v>1</v>
      <v>27</v>
      <v>1</v>
      <v>1</v>
      <v>1</v>
      <v>1</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30</v>
      <v>30</v>
      <v>1</v>
      <v>30</v>
      <v>30</v>
      <v>30</v>
      <v>31</v>
      <v>30</v>
      <v>1</v>
      <v>30</v>
      <v>1</v>
      <v>32</v>
      <v>30</v>
      <v>1</v>
      <v>1</v>
      <v>1</v>
      <v>1</v>
      <v>32</v>
      <v>1</v>
      <v>1</v>
      <v>1</v>
      <v>1</v>
      <v>1</v>
      <v>1</v>
      <v>1</v>
      <v>1</v>
      <v>1</v>
      <v>32</v>
      <v>1</v>
      <v>1</v>
      <v>1</v>
      <v>1</v>
    </spb>
    <spb s="0">
      <v xml:space="preserve">Wikipedia	</v>
      <v xml:space="preserve">CC BY-SA 3.0	</v>
      <v xml:space="preserve">https://en.wikipedia.org/wiki/Phoenix,_Arizona	</v>
      <v xml:space="preserve">https://creativecommons.org/licenses/by-sa/3.0	</v>
    </spb>
    <spb s="9">
      <v>34</v>
      <v>34</v>
      <v>34</v>
      <v>34</v>
      <v>34</v>
      <v>34</v>
      <v>34</v>
      <v>34</v>
      <v>34</v>
      <v>34</v>
    </spb>
    <spb s="2">
      <v>2</v>
      <v>Name</v>
      <v>LearnMoreOnLink</v>
    </spb>
    <spb s="10">
      <v>square km</v>
      <v>2020</v>
    </spb>
    <spb s="8">
      <v>8</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Sty dxfid="3">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92A1DC-3CC5-4B57-AD35-2A3B89C4E273}" sourceName="[Rates].[Yea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279843528">
      <levels count="2">
        <level uniqueName="[Rates].[Year].[(All)]" sourceCaption="(All)" count="0"/>
        <level uniqueName="[Rates].[Year].[Year]" sourceCaption="Year" count="5">
          <ranges>
            <range startItem="0">
              <i n="[Rates].[Year].&amp;[2016]" c="2016"/>
              <i n="[Rates].[Year].&amp;[2017]" c="2017"/>
              <i n="[Rates].[Year].&amp;[2018]" c="2018"/>
              <i n="[Rates].[Year].&amp;[2019]" c="2019"/>
              <i n="[Rates].[Year].&amp;[2020]" c="2020"/>
            </range>
          </ranges>
        </level>
      </levels>
      <selections count="1">
        <selection n="[Rates].[Year].&amp;[2016]"/>
      </selections>
    </olap>
  </data>
  <extLst>
    <x:ext xmlns:x15="http://schemas.microsoft.com/office/spreadsheetml/2010/11/main" uri="{470722E0-AACD-4C17-9CDC-17EF765DBC7E}">
      <x15:slicerCacheHideItemsWithNoData count="1">
        <x15:slicerCacheOlapLevelName uniqueName="[Rates].[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FD06A2A-D9AE-4A68-BA7A-9BD7A579F47A}" cache="Slicer_Year" caption="Year" columnCount="2" showCaption="0" level="1" style="Slicer Style 1" rowHeight="257588"/>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2339-3F31-413D-A359-632C8931FB43}">
  <dimension ref="A1:AB19"/>
  <sheetViews>
    <sheetView topLeftCell="P1" zoomScaleNormal="100" workbookViewId="0">
      <selection activeCell="AA6" sqref="AA6"/>
    </sheetView>
  </sheetViews>
  <sheetFormatPr defaultRowHeight="15.05" x14ac:dyDescent="0.3"/>
  <cols>
    <col min="1" max="1" width="12.33203125" bestFit="1" customWidth="1"/>
    <col min="2" max="2" width="10.109375" bestFit="1" customWidth="1"/>
    <col min="5" max="5" width="15.88671875" bestFit="1" customWidth="1"/>
    <col min="7" max="7" width="12.33203125" bestFit="1" customWidth="1"/>
    <col min="8" max="8" width="11.21875" bestFit="1" customWidth="1"/>
    <col min="10" max="10" width="12.33203125" bestFit="1" customWidth="1"/>
    <col min="11" max="11" width="9.21875" bestFit="1" customWidth="1"/>
    <col min="13" max="13" width="12.33203125" bestFit="1" customWidth="1"/>
    <col min="14" max="14" width="10.109375" bestFit="1" customWidth="1"/>
    <col min="16" max="16" width="12.33203125" bestFit="1" customWidth="1"/>
    <col min="17" max="17" width="10.109375" bestFit="1" customWidth="1"/>
    <col min="20" max="20" width="10.109375" bestFit="1" customWidth="1"/>
    <col min="21" max="21" width="11.21875" bestFit="1" customWidth="1"/>
    <col min="22" max="22" width="17.88671875" bestFit="1" customWidth="1"/>
    <col min="23" max="23" width="10.33203125" bestFit="1" customWidth="1"/>
    <col min="24" max="24" width="11" bestFit="1" customWidth="1"/>
    <col min="25" max="25" width="10.33203125" bestFit="1" customWidth="1"/>
    <col min="26" max="26" width="6.33203125" bestFit="1" customWidth="1"/>
    <col min="27" max="27" width="10.33203125" bestFit="1" customWidth="1"/>
    <col min="28" max="28" width="8" bestFit="1" customWidth="1"/>
  </cols>
  <sheetData>
    <row r="1" spans="1:28" x14ac:dyDescent="0.3">
      <c r="A1" s="2" t="s">
        <v>1</v>
      </c>
      <c r="B1" t="s">
        <v>0</v>
      </c>
      <c r="D1" t="s">
        <v>10</v>
      </c>
      <c r="E1" t="s">
        <v>9</v>
      </c>
      <c r="G1" s="2" t="s">
        <v>1</v>
      </c>
      <c r="H1" t="s">
        <v>28</v>
      </c>
      <c r="J1" s="2" t="s">
        <v>1</v>
      </c>
      <c r="K1" t="s">
        <v>0</v>
      </c>
      <c r="M1" s="2" t="s">
        <v>1</v>
      </c>
      <c r="N1" t="s">
        <v>0</v>
      </c>
      <c r="P1" s="2" t="s">
        <v>1</v>
      </c>
      <c r="Q1" t="s">
        <v>0</v>
      </c>
      <c r="T1" t="s">
        <v>0</v>
      </c>
      <c r="U1" t="s">
        <v>28</v>
      </c>
      <c r="V1" t="s">
        <v>33</v>
      </c>
      <c r="W1" s="2" t="s">
        <v>32</v>
      </c>
      <c r="X1" t="s" vm="1">
        <v>29</v>
      </c>
      <c r="Y1" s="2" t="s">
        <v>32</v>
      </c>
      <c r="Z1" t="s" vm="2">
        <v>30</v>
      </c>
      <c r="AA1" s="2" t="s">
        <v>32</v>
      </c>
      <c r="AB1" t="s" vm="3">
        <v>31</v>
      </c>
    </row>
    <row r="2" spans="1:28" x14ac:dyDescent="0.3">
      <c r="A2" s="3" t="s">
        <v>4</v>
      </c>
      <c r="B2" s="4">
        <v>840065.76</v>
      </c>
      <c r="D2" t="e" vm="4">
        <v>#VALUE!</v>
      </c>
      <c r="E2" s="5">
        <f>GETPIVOTDATA("[Measures].[Total Cost]",$A$1,"[Building Master].[City]","[Building Master].[City].&amp;[Chicago]")</f>
        <v>840065.76</v>
      </c>
      <c r="G2" s="3" t="s">
        <v>11</v>
      </c>
      <c r="H2" s="9"/>
      <c r="J2" s="3" t="s">
        <v>11</v>
      </c>
      <c r="K2" s="8"/>
      <c r="M2" s="3" t="s">
        <v>29</v>
      </c>
      <c r="N2" s="4">
        <v>394720.00000000017</v>
      </c>
      <c r="P2" s="3" t="s">
        <v>2</v>
      </c>
      <c r="Q2" s="4">
        <v>326749.59000000003</v>
      </c>
      <c r="T2" s="4">
        <v>3158569.2999999984</v>
      </c>
      <c r="U2" s="1">
        <v>4023.52</v>
      </c>
      <c r="V2" s="9">
        <v>11</v>
      </c>
    </row>
    <row r="3" spans="1:28" x14ac:dyDescent="0.3">
      <c r="A3" s="3" t="s">
        <v>5</v>
      </c>
      <c r="B3" s="4">
        <v>298937.79999999993</v>
      </c>
      <c r="D3" t="e" vm="5">
        <v>#VALUE!</v>
      </c>
      <c r="E3" s="5">
        <f>GETPIVOTDATA("[Measures].[Total Cost]",$A$1,"[Building Master].[City]","[Building Master].[City].&amp;[Houston]")</f>
        <v>298937.79999999993</v>
      </c>
      <c r="G3" s="6" t="s">
        <v>12</v>
      </c>
      <c r="H3" s="9"/>
      <c r="J3" s="6" t="s">
        <v>12</v>
      </c>
      <c r="K3" s="8"/>
      <c r="M3" s="3" t="s">
        <v>30</v>
      </c>
      <c r="N3" s="4">
        <v>504523</v>
      </c>
      <c r="P3" s="3" t="s">
        <v>34</v>
      </c>
      <c r="Q3" s="4">
        <v>307442.37</v>
      </c>
      <c r="W3" t="s">
        <v>0</v>
      </c>
      <c r="Y3" t="s">
        <v>0</v>
      </c>
      <c r="AA3" t="s">
        <v>0</v>
      </c>
    </row>
    <row r="4" spans="1:28" x14ac:dyDescent="0.3">
      <c r="A4" s="3" t="s">
        <v>6</v>
      </c>
      <c r="B4" s="4">
        <v>868428.65</v>
      </c>
      <c r="D4" t="e" vm="6">
        <v>#VALUE!</v>
      </c>
      <c r="E4" s="5">
        <f>GETPIVOTDATA("[Measures].[Total Cost]",$A$1,"[Building Master].[City]","[Building Master].[City].&amp;[Los Angeles]")</f>
        <v>868428.65</v>
      </c>
      <c r="G4" s="7" t="s">
        <v>13</v>
      </c>
      <c r="H4" s="1">
        <v>3378</v>
      </c>
      <c r="J4" s="7" t="s">
        <v>13</v>
      </c>
      <c r="K4" s="8"/>
      <c r="M4" s="3" t="s">
        <v>31</v>
      </c>
      <c r="N4" s="4">
        <v>2259326.3000000003</v>
      </c>
      <c r="P4" s="3" t="s">
        <v>35</v>
      </c>
      <c r="Q4" s="4">
        <v>298937.79999999993</v>
      </c>
      <c r="W4" s="4">
        <v>394720.00000000017</v>
      </c>
      <c r="Y4" s="4">
        <v>504523</v>
      </c>
      <c r="AA4" s="4">
        <v>2259326.3000000003</v>
      </c>
    </row>
    <row r="5" spans="1:28" x14ac:dyDescent="0.3">
      <c r="A5" s="3" t="s">
        <v>7</v>
      </c>
      <c r="B5" s="4">
        <v>824387.5</v>
      </c>
      <c r="D5" t="e" vm="7">
        <v>#VALUE!</v>
      </c>
      <c r="E5" s="5">
        <f>GETPIVOTDATA("[Measures].[Total Cost]",$A$1,"[Building Master].[City]","[Building Master].[City].&amp;[New York]")</f>
        <v>824387.5</v>
      </c>
      <c r="G5" s="7" t="s">
        <v>14</v>
      </c>
      <c r="H5" s="1">
        <v>3977.52</v>
      </c>
      <c r="J5" s="7" t="s">
        <v>14</v>
      </c>
      <c r="K5" s="8">
        <v>1.8144021198072725E-2</v>
      </c>
      <c r="M5" s="3" t="s">
        <v>3</v>
      </c>
      <c r="N5" s="4">
        <v>3158569.2999999984</v>
      </c>
      <c r="P5" s="3" t="s">
        <v>36</v>
      </c>
      <c r="Q5" s="4">
        <v>292112.86000000004</v>
      </c>
      <c r="T5" t="str">
        <f>"Total Cost
"&amp;TEXT(GETPIVOTDATA("[Measures].[Total Cost]",$T$1),"$##,00")</f>
        <v>Total Cost
$3,158,569</v>
      </c>
      <c r="U5" t="str">
        <f>"Median Cost
"&amp;TEXT(GETPIVOTDATA("[Measures].[Median Cost]",$T$1),"$##,00")</f>
        <v>Median Cost
$4,024</v>
      </c>
      <c r="V5" t="str">
        <f>"Number of Buildings
"
&amp;GETPIVOTDATA("[Measures].[Number of Buildings]",$T$1)</f>
        <v>Number of Buildings
11</v>
      </c>
      <c r="W5" t="str">
        <f>"Electricity Cost
"&amp;TEXT(GETPIVOTDATA("[Measures].[Total Cost]",$W$3),"$##,00")</f>
        <v>Electricity Cost
$394,720</v>
      </c>
      <c r="Y5" t="str">
        <f>"Gas Cost
"&amp;TEXT(GETPIVOTDATA("[Measures].[Total Cost]",$Y$3),"$##,00")</f>
        <v>Gas Cost
$504,523</v>
      </c>
      <c r="AA5" t="str">
        <f>"Water Cost
"&amp;TEXT(GETPIVOTDATA("[Measures].[Total Cost]",$AA$3),"$##,00")</f>
        <v>Water Cost
$2,259,326</v>
      </c>
    </row>
    <row r="6" spans="1:28" x14ac:dyDescent="0.3">
      <c r="A6" s="3" t="s">
        <v>8</v>
      </c>
      <c r="B6" s="4">
        <v>326749.59000000003</v>
      </c>
      <c r="D6" t="e" vm="8">
        <v>#VALUE!</v>
      </c>
      <c r="E6" s="5">
        <f>GETPIVOTDATA("[Measures].[Total Cost]",$A$1,"[Building Master].[City]","[Building Master].[City].&amp;[Phoenix]")</f>
        <v>326749.59000000003</v>
      </c>
      <c r="G6" s="7" t="s">
        <v>15</v>
      </c>
      <c r="H6" s="1">
        <v>3773</v>
      </c>
      <c r="J6" s="7" t="s">
        <v>15</v>
      </c>
      <c r="K6" s="8">
        <v>2.4703059468592324E-2</v>
      </c>
      <c r="P6" s="3" t="s">
        <v>37</v>
      </c>
      <c r="Q6" s="4">
        <v>286585.84999999998</v>
      </c>
    </row>
    <row r="7" spans="1:28" x14ac:dyDescent="0.3">
      <c r="A7" s="3" t="s">
        <v>3</v>
      </c>
      <c r="B7" s="4">
        <v>3158569.2999999984</v>
      </c>
      <c r="G7" s="6" t="s">
        <v>16</v>
      </c>
      <c r="H7" s="9"/>
      <c r="J7" s="6" t="s">
        <v>16</v>
      </c>
      <c r="K7" s="8"/>
      <c r="P7" s="3" t="s">
        <v>3</v>
      </c>
      <c r="Q7" s="4">
        <v>1511828.4700000002</v>
      </c>
    </row>
    <row r="8" spans="1:28" x14ac:dyDescent="0.3">
      <c r="G8" s="7" t="s">
        <v>17</v>
      </c>
      <c r="H8" s="1">
        <v>3807.76</v>
      </c>
      <c r="J8" s="7" t="s">
        <v>17</v>
      </c>
      <c r="K8" s="8"/>
    </row>
    <row r="9" spans="1:28" x14ac:dyDescent="0.3">
      <c r="G9" s="7" t="s">
        <v>18</v>
      </c>
      <c r="H9" s="1">
        <v>4374</v>
      </c>
      <c r="J9" s="7" t="s">
        <v>18</v>
      </c>
      <c r="K9" s="8">
        <v>0.13712007988726618</v>
      </c>
    </row>
    <row r="10" spans="1:28" x14ac:dyDescent="0.3">
      <c r="G10" s="7" t="s">
        <v>19</v>
      </c>
      <c r="H10" s="1">
        <v>3941.52</v>
      </c>
      <c r="J10" s="7" t="s">
        <v>19</v>
      </c>
      <c r="K10" s="8">
        <v>-5.6745546712106673E-2</v>
      </c>
    </row>
    <row r="11" spans="1:28" x14ac:dyDescent="0.3">
      <c r="G11" s="6" t="s">
        <v>20</v>
      </c>
      <c r="H11" s="9"/>
      <c r="J11" s="6" t="s">
        <v>20</v>
      </c>
      <c r="K11" s="8"/>
    </row>
    <row r="12" spans="1:28" x14ac:dyDescent="0.3">
      <c r="G12" s="7" t="s">
        <v>21</v>
      </c>
      <c r="H12" s="1">
        <v>4540</v>
      </c>
      <c r="J12" s="7" t="s">
        <v>21</v>
      </c>
      <c r="K12" s="8"/>
    </row>
    <row r="13" spans="1:28" x14ac:dyDescent="0.3">
      <c r="G13" s="7" t="s">
        <v>22</v>
      </c>
      <c r="H13" s="1">
        <v>3951.52</v>
      </c>
      <c r="J13" s="7" t="s">
        <v>22</v>
      </c>
      <c r="K13" s="8">
        <v>-3.4256405283296168E-2</v>
      </c>
    </row>
    <row r="14" spans="1:28" x14ac:dyDescent="0.3">
      <c r="G14" s="7" t="s">
        <v>23</v>
      </c>
      <c r="H14" s="1">
        <v>4312</v>
      </c>
      <c r="J14" s="7" t="s">
        <v>23</v>
      </c>
      <c r="K14" s="8">
        <v>1.5410083394839475E-2</v>
      </c>
    </row>
    <row r="15" spans="1:28" x14ac:dyDescent="0.3">
      <c r="G15" s="6" t="s">
        <v>24</v>
      </c>
      <c r="H15" s="9"/>
      <c r="J15" s="6" t="s">
        <v>24</v>
      </c>
      <c r="K15" s="8"/>
    </row>
    <row r="16" spans="1:28" x14ac:dyDescent="0.3">
      <c r="G16" s="7" t="s">
        <v>25</v>
      </c>
      <c r="H16" s="1">
        <v>4083</v>
      </c>
      <c r="J16" s="7" t="s">
        <v>25</v>
      </c>
      <c r="K16" s="8"/>
    </row>
    <row r="17" spans="7:11" x14ac:dyDescent="0.3">
      <c r="G17" s="7" t="s">
        <v>26</v>
      </c>
      <c r="H17" s="1">
        <v>3992.88</v>
      </c>
      <c r="J17" s="7" t="s">
        <v>26</v>
      </c>
      <c r="K17" s="8">
        <v>-0.12554583925937959</v>
      </c>
    </row>
    <row r="18" spans="7:11" x14ac:dyDescent="0.3">
      <c r="G18" s="7" t="s">
        <v>27</v>
      </c>
      <c r="H18" s="1">
        <v>4541</v>
      </c>
      <c r="J18" s="7" t="s">
        <v>27</v>
      </c>
      <c r="K18" s="8">
        <v>0.12469438727008643</v>
      </c>
    </row>
    <row r="19" spans="7:11" x14ac:dyDescent="0.3">
      <c r="G19" s="3" t="s">
        <v>3</v>
      </c>
      <c r="H19" s="1">
        <v>4023.52</v>
      </c>
      <c r="J19" s="3" t="s">
        <v>3</v>
      </c>
      <c r="K19" s="8"/>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2F85-40A2-4CD4-B4E7-7ED709A1B02F}">
  <dimension ref="A1"/>
  <sheetViews>
    <sheetView showGridLines="0" tabSelected="1" zoomScaleNormal="100" workbookViewId="0"/>
  </sheetViews>
  <sheetFormatPr defaultRowHeight="15.0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E3F48BE-EF5C-46FC-8660-7A0AC92F6929}">
  <ds:schemaRefs/>
</ds:datastoreItem>
</file>

<file path=customXml/itemProps2.xml><?xml version="1.0" encoding="utf-8"?>
<ds:datastoreItem xmlns:ds="http://schemas.openxmlformats.org/officeDocument/2006/customXml" ds:itemID="{EC635D09-123C-46DB-99D4-3F37231D4791}">
  <ds:schemaRefs/>
</ds:datastoreItem>
</file>

<file path=customXml/itemProps3.xml><?xml version="1.0" encoding="utf-8"?>
<ds:datastoreItem xmlns:ds="http://schemas.openxmlformats.org/officeDocument/2006/customXml" ds:itemID="{9736C6E8-137E-444D-9F23-5CD7DC7DD620}">
  <ds:schemaRefs/>
</ds:datastoreItem>
</file>

<file path=customXml/itemProps4.xml><?xml version="1.0" encoding="utf-8"?>
<ds:datastoreItem xmlns:ds="http://schemas.openxmlformats.org/officeDocument/2006/customXml" ds:itemID="{03B7E2F2-CA86-4BFC-8B0C-63634CDEF024}">
  <ds:schemaRefs/>
</ds:datastoreItem>
</file>

<file path=customXml/itemProps5.xml><?xml version="1.0" encoding="utf-8"?>
<ds:datastoreItem xmlns:ds="http://schemas.openxmlformats.org/officeDocument/2006/customXml" ds:itemID="{A6BFE5E3-A9C6-451B-A8F7-B20114E4CEA3}">
  <ds:schemaRefs/>
</ds:datastoreItem>
</file>

<file path=customXml/itemProps6.xml><?xml version="1.0" encoding="utf-8"?>
<ds:datastoreItem xmlns:ds="http://schemas.openxmlformats.org/officeDocument/2006/customXml" ds:itemID="{E67B84C6-8EC4-494C-85B8-9D4311D47D09}">
  <ds:schemaRefs/>
</ds:datastoreItem>
</file>

<file path=customXml/itemProps7.xml><?xml version="1.0" encoding="utf-8"?>
<ds:datastoreItem xmlns:ds="http://schemas.openxmlformats.org/officeDocument/2006/customXml" ds:itemID="{F475E7AA-4772-4532-AA43-0579261DC8C4}">
  <ds:schemaRefs/>
</ds:datastoreItem>
</file>

<file path=customXml/itemProps8.xml><?xml version="1.0" encoding="utf-8"?>
<ds:datastoreItem xmlns:ds="http://schemas.openxmlformats.org/officeDocument/2006/customXml" ds:itemID="{75454D1A-C071-4B7E-B73A-44C1023F70C2}">
  <ds:schemaRefs/>
</ds:datastoreItem>
</file>

<file path=customXml/itemProps9.xml><?xml version="1.0" encoding="utf-8"?>
<ds:datastoreItem xmlns:ds="http://schemas.openxmlformats.org/officeDocument/2006/customXml" ds:itemID="{02C94ED3-2FF7-477C-B268-BBD07FEB5A9E}">
  <ds:schemaRefs/>
</ds:datastoreItem>
</file>

<file path=customXml/itemProps10.xml><?xml version="1.0" encoding="utf-8"?>
<ds:datastoreItem xmlns:ds="http://schemas.openxmlformats.org/officeDocument/2006/customXml" ds:itemID="{112EC024-96C5-4FB8-9A4B-CF174024E45E}">
  <ds:schemaRefs/>
</ds:datastoreItem>
</file>

<file path=customXml/itemProps11.xml><?xml version="1.0" encoding="utf-8"?>
<ds:datastoreItem xmlns:ds="http://schemas.openxmlformats.org/officeDocument/2006/customXml" ds:itemID="{A8C24B5C-A4F5-4930-B80C-92C1E084FE0D}">
  <ds:schemaRefs/>
</ds:datastoreItem>
</file>

<file path=customXml/itemProps12.xml><?xml version="1.0" encoding="utf-8"?>
<ds:datastoreItem xmlns:ds="http://schemas.openxmlformats.org/officeDocument/2006/customXml" ds:itemID="{198EDB31-E1DB-465C-9934-B0C21E7ABC97}">
  <ds:schemaRefs/>
</ds:datastoreItem>
</file>

<file path=customXml/itemProps13.xml><?xml version="1.0" encoding="utf-8"?>
<ds:datastoreItem xmlns:ds="http://schemas.openxmlformats.org/officeDocument/2006/customXml" ds:itemID="{E07C2A3F-6982-4D19-95A7-6BF9BFA40080}">
  <ds:schemaRefs>
    <ds:schemaRef ds:uri="http://schemas.microsoft.com/DataMashup"/>
  </ds:schemaRefs>
</ds:datastoreItem>
</file>

<file path=customXml/itemProps14.xml><?xml version="1.0" encoding="utf-8"?>
<ds:datastoreItem xmlns:ds="http://schemas.openxmlformats.org/officeDocument/2006/customXml" ds:itemID="{B8AC9970-2B39-49AB-A9EB-BA55CF917201}">
  <ds:schemaRefs/>
</ds:datastoreItem>
</file>

<file path=customXml/itemProps15.xml><?xml version="1.0" encoding="utf-8"?>
<ds:datastoreItem xmlns:ds="http://schemas.openxmlformats.org/officeDocument/2006/customXml" ds:itemID="{30EE48DB-8C23-41F4-9A98-B23F8DCB378C}">
  <ds:schemaRefs/>
</ds:datastoreItem>
</file>

<file path=customXml/itemProps16.xml><?xml version="1.0" encoding="utf-8"?>
<ds:datastoreItem xmlns:ds="http://schemas.openxmlformats.org/officeDocument/2006/customXml" ds:itemID="{70767BD4-9DD3-4832-9560-3B7253B536F9}">
  <ds:schemaRefs/>
</ds:datastoreItem>
</file>

<file path=customXml/itemProps17.xml><?xml version="1.0" encoding="utf-8"?>
<ds:datastoreItem xmlns:ds="http://schemas.openxmlformats.org/officeDocument/2006/customXml" ds:itemID="{BA983886-E272-47EE-B49E-D24842BBEC81}">
  <ds:schemaRefs/>
</ds:datastoreItem>
</file>

<file path=customXml/itemProps18.xml><?xml version="1.0" encoding="utf-8"?>
<ds:datastoreItem xmlns:ds="http://schemas.openxmlformats.org/officeDocument/2006/customXml" ds:itemID="{3997813E-9111-41CA-A9D5-71235976C2E3}">
  <ds:schemaRefs/>
</ds:datastoreItem>
</file>

<file path=customXml/itemProps19.xml><?xml version="1.0" encoding="utf-8"?>
<ds:datastoreItem xmlns:ds="http://schemas.openxmlformats.org/officeDocument/2006/customXml" ds:itemID="{AA60C909-72E8-4FD2-A868-5B3095FC975E}">
  <ds:schemaRefs/>
</ds:datastoreItem>
</file>

<file path=customXml/itemProps20.xml><?xml version="1.0" encoding="utf-8"?>
<ds:datastoreItem xmlns:ds="http://schemas.openxmlformats.org/officeDocument/2006/customXml" ds:itemID="{A5B7C3D5-1730-445B-AF67-49004D33652D}">
  <ds:schemaRefs/>
</ds:datastoreItem>
</file>

<file path=customXml/itemProps21.xml><?xml version="1.0" encoding="utf-8"?>
<ds:datastoreItem xmlns:ds="http://schemas.openxmlformats.org/officeDocument/2006/customXml" ds:itemID="{A29FFDBD-5E62-4018-82CA-86B74EE8F06A}">
  <ds:schemaRefs/>
</ds:datastoreItem>
</file>

<file path=customXml/itemProps22.xml><?xml version="1.0" encoding="utf-8"?>
<ds:datastoreItem xmlns:ds="http://schemas.openxmlformats.org/officeDocument/2006/customXml" ds:itemID="{CA467FD2-5E88-4B07-BC5E-E3E5F971DC11}">
  <ds:schemaRefs/>
</ds:datastoreItem>
</file>

<file path=customXml/itemProps23.xml><?xml version="1.0" encoding="utf-8"?>
<ds:datastoreItem xmlns:ds="http://schemas.openxmlformats.org/officeDocument/2006/customXml" ds:itemID="{D6C821CA-99D0-4EFB-A975-B7FDAEBA92C7}">
  <ds:schemaRefs/>
</ds:datastoreItem>
</file>

<file path=customXml/itemProps24.xml><?xml version="1.0" encoding="utf-8"?>
<ds:datastoreItem xmlns:ds="http://schemas.openxmlformats.org/officeDocument/2006/customXml" ds:itemID="{B4E4F873-6428-4408-B5C3-9F215A6E6B31}">
  <ds:schemaRefs/>
</ds:datastoreItem>
</file>

<file path=customXml/itemProps25.xml><?xml version="1.0" encoding="utf-8"?>
<ds:datastoreItem xmlns:ds="http://schemas.openxmlformats.org/officeDocument/2006/customXml" ds:itemID="{2D5A52A6-239C-4715-9AAF-5CDE93EB1EDE}">
  <ds:schemaRefs/>
</ds:datastoreItem>
</file>

<file path=customXml/itemProps26.xml><?xml version="1.0" encoding="utf-8"?>
<ds:datastoreItem xmlns:ds="http://schemas.openxmlformats.org/officeDocument/2006/customXml" ds:itemID="{FA9467FF-3CC1-4149-A572-3CC7C3F96B91}">
  <ds:schemaRefs/>
</ds:datastoreItem>
</file>

<file path=customXml/itemProps27.xml><?xml version="1.0" encoding="utf-8"?>
<ds:datastoreItem xmlns:ds="http://schemas.openxmlformats.org/officeDocument/2006/customXml" ds:itemID="{0A2EC9AE-6EDF-4E0C-BF29-D3392BE9B0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Mohamed Ebrahim Hamid Ayyad</dc:creator>
  <cp:lastModifiedBy>Amr Mohamed Ebrahim Hamid Ayyad</cp:lastModifiedBy>
  <dcterms:created xsi:type="dcterms:W3CDTF">2026-01-27T16:44:22Z</dcterms:created>
  <dcterms:modified xsi:type="dcterms:W3CDTF">2026-01-30T21:16:33Z</dcterms:modified>
</cp:coreProperties>
</file>